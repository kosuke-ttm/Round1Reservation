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3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4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tsumikouyuu/Desktop/"/>
    </mc:Choice>
  </mc:AlternateContent>
  <xr:revisionPtr revIDLastSave="0" documentId="13_ncr:1_{59C63170-8EFC-7341-A23E-369295AB0537}" xr6:coauthVersionLast="47" xr6:coauthVersionMax="47" xr10:uidLastSave="{00000000-0000-0000-0000-000000000000}"/>
  <bookViews>
    <workbookView xWindow="0" yWindow="700" windowWidth="27040" windowHeight="15980" tabRatio="675" activeTab="5" xr2:uid="{00000000-000D-0000-FFFF-FFFF00000000}"/>
  </bookViews>
  <sheets>
    <sheet name="旧BS" sheetId="10" r:id="rId1"/>
    <sheet name="SD" sheetId="7" r:id="rId2"/>
    <sheet name="KA" sheetId="1" r:id="rId3"/>
    <sheet name="Sheet3" sheetId="4" r:id="rId4"/>
    <sheet name="Sheet4" sheetId="9" r:id="rId5"/>
    <sheet name="BS" sheetId="5" r:id="rId6"/>
  </sheets>
  <definedNames>
    <definedName name="_xlnm.Print_Area" localSheetId="3">Sheet3!$A$1:$A$12</definedName>
    <definedName name="_xlnm.Print_Area" localSheetId="4">Sheet4!$A$1:$A$12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5" l="1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2" i="5"/>
  <c r="F2" i="10"/>
  <c r="K9" i="10"/>
  <c r="J9" i="10"/>
  <c r="F9" i="10"/>
  <c r="K8" i="10"/>
  <c r="J8" i="10"/>
  <c r="F8" i="10"/>
  <c r="K7" i="10"/>
  <c r="J7" i="10"/>
  <c r="F7" i="10"/>
  <c r="K6" i="10"/>
  <c r="J6" i="10"/>
  <c r="F6" i="10"/>
  <c r="K5" i="10"/>
  <c r="J5" i="10"/>
  <c r="F5" i="10"/>
  <c r="K4" i="10"/>
  <c r="J4" i="10"/>
  <c r="F4" i="10"/>
  <c r="K3" i="10"/>
  <c r="J3" i="10"/>
  <c r="F3" i="10"/>
  <c r="K2" i="10"/>
  <c r="F2" i="5"/>
  <c r="J2" i="10"/>
  <c r="F17" i="5"/>
  <c r="F16" i="5"/>
  <c r="F15" i="5"/>
  <c r="F14" i="5"/>
  <c r="F13" i="5"/>
  <c r="F12" i="5"/>
  <c r="F11" i="5"/>
  <c r="F10" i="5"/>
  <c r="F4" i="7"/>
  <c r="J5" i="7"/>
  <c r="K3" i="7"/>
  <c r="K4" i="7"/>
  <c r="K5" i="7"/>
  <c r="K6" i="7"/>
  <c r="K7" i="7"/>
  <c r="K8" i="7"/>
  <c r="K9" i="7"/>
  <c r="K2" i="7"/>
  <c r="F7" i="5"/>
  <c r="J9" i="7"/>
  <c r="J8" i="7"/>
  <c r="J7" i="7"/>
  <c r="J6" i="7"/>
  <c r="J4" i="7"/>
  <c r="J3" i="7"/>
  <c r="J2" i="7"/>
  <c r="F3" i="5"/>
  <c r="F4" i="5"/>
  <c r="F5" i="5"/>
  <c r="F6" i="5"/>
  <c r="F8" i="5"/>
  <c r="F9" i="5"/>
  <c r="F5" i="7" l="1"/>
  <c r="F6" i="7"/>
  <c r="F2" i="7" l="1"/>
  <c r="F3" i="7"/>
  <c r="F7" i="7"/>
  <c r="F8" i="7"/>
  <c r="F9" i="7"/>
  <c r="F3" i="1"/>
  <c r="F4" i="1"/>
  <c r="F5" i="1"/>
  <c r="F6" i="1"/>
  <c r="F7" i="1"/>
  <c r="F8" i="1"/>
  <c r="F9" i="1"/>
  <c r="F2" i="1"/>
  <c r="F10" i="1"/>
  <c r="F11" i="1"/>
  <c r="F12" i="1"/>
  <c r="A4" i="7"/>
  <c r="A4" i="1"/>
</calcChain>
</file>

<file path=xl/sharedStrings.xml><?xml version="1.0" encoding="utf-8"?>
<sst xmlns="http://schemas.openxmlformats.org/spreadsheetml/2006/main" count="91" uniqueCount="66">
  <si>
    <t>現在時刻</t>
    <rPh sb="0" eb="2">
      <t>ゲンザイ</t>
    </rPh>
    <rPh sb="2" eb="4">
      <t>ジコク</t>
    </rPh>
    <phoneticPr fontId="1"/>
  </si>
  <si>
    <t>開始時刻</t>
    <rPh sb="0" eb="2">
      <t>カイシ</t>
    </rPh>
    <rPh sb="2" eb="4">
      <t>ジコク</t>
    </rPh>
    <phoneticPr fontId="1"/>
  </si>
  <si>
    <t>終了時刻</t>
    <rPh sb="0" eb="2">
      <t>シュウリョウ</t>
    </rPh>
    <rPh sb="2" eb="4">
      <t>ジコク</t>
    </rPh>
    <phoneticPr fontId="1"/>
  </si>
  <si>
    <t>終了時間</t>
    <rPh sb="0" eb="2">
      <t>シュウリョウ</t>
    </rPh>
    <rPh sb="2" eb="4">
      <t>ジカン</t>
    </rPh>
    <phoneticPr fontId="1"/>
  </si>
  <si>
    <t>貸出</t>
    <rPh sb="0" eb="2">
      <t>カシダシ</t>
    </rPh>
    <phoneticPr fontId="1"/>
  </si>
  <si>
    <t>KA 1</t>
    <phoneticPr fontId="1"/>
  </si>
  <si>
    <t>KA 2</t>
    <phoneticPr fontId="1"/>
  </si>
  <si>
    <t>KA 3</t>
    <phoneticPr fontId="1"/>
  </si>
  <si>
    <t>KA 4</t>
  </si>
  <si>
    <t>貸出回数</t>
    <rPh sb="0" eb="2">
      <t>カシダシ</t>
    </rPh>
    <rPh sb="2" eb="4">
      <t>カイスウ</t>
    </rPh>
    <phoneticPr fontId="1"/>
  </si>
  <si>
    <t>SD 4</t>
  </si>
  <si>
    <t>SD 6</t>
  </si>
  <si>
    <t>リセット完了</t>
    <rPh sb="4" eb="6">
      <t>カンリョウ</t>
    </rPh>
    <phoneticPr fontId="1"/>
  </si>
  <si>
    <t>充電完了時間</t>
    <rPh sb="0" eb="2">
      <t>ジュウデン</t>
    </rPh>
    <rPh sb="2" eb="4">
      <t>カンリョウ</t>
    </rPh>
    <rPh sb="4" eb="6">
      <t>ジカン</t>
    </rPh>
    <phoneticPr fontId="1"/>
  </si>
  <si>
    <t>ステータス</t>
    <phoneticPr fontId="1"/>
  </si>
  <si>
    <t>リセット完了</t>
  </si>
  <si>
    <t>時間内の返却をお願いします。</t>
    <rPh sb="0" eb="2">
      <t>ジカン</t>
    </rPh>
    <rPh sb="2" eb="3">
      <t>ナイ</t>
    </rPh>
    <rPh sb="4" eb="6">
      <t>ヘンキャク</t>
    </rPh>
    <rPh sb="8" eb="9">
      <t>ネガ</t>
    </rPh>
    <phoneticPr fontId="1"/>
  </si>
  <si>
    <t>プレイ前には必ず防具を着用して下さい。</t>
    <rPh sb="3" eb="4">
      <t>マエ</t>
    </rPh>
    <rPh sb="6" eb="7">
      <t>カナラ</t>
    </rPh>
    <rPh sb="8" eb="10">
      <t>ボウグ</t>
    </rPh>
    <rPh sb="11" eb="13">
      <t>チャクヨウ</t>
    </rPh>
    <rPh sb="15" eb="16">
      <t>クダ</t>
    </rPh>
    <phoneticPr fontId="1"/>
  </si>
  <si>
    <t>延長料金は500円頂戴しております。</t>
    <rPh sb="0" eb="2">
      <t>エンチョウ</t>
    </rPh>
    <rPh sb="2" eb="4">
      <t>リョウキン</t>
    </rPh>
    <rPh sb="8" eb="9">
      <t>エン</t>
    </rPh>
    <rPh sb="9" eb="11">
      <t>チョウダイ</t>
    </rPh>
    <phoneticPr fontId="1"/>
  </si>
  <si>
    <t>KA 5</t>
    <phoneticPr fontId="1"/>
  </si>
  <si>
    <t>KA 6</t>
    <phoneticPr fontId="1"/>
  </si>
  <si>
    <t>KA 8</t>
  </si>
  <si>
    <t>SD 7</t>
  </si>
  <si>
    <t>SD 8</t>
  </si>
  <si>
    <t>KA 9</t>
  </si>
  <si>
    <t>KA 10</t>
  </si>
  <si>
    <t>KA 11</t>
  </si>
  <si>
    <t>40分に設定しています。終了時刻内数式の40を変更すれば任意の時間にできます。</t>
    <rPh sb="2" eb="3">
      <t>フン</t>
    </rPh>
    <rPh sb="4" eb="6">
      <t>セッテイ</t>
    </rPh>
    <rPh sb="12" eb="14">
      <t>シュウリョウ</t>
    </rPh>
    <rPh sb="14" eb="16">
      <t>ジコク</t>
    </rPh>
    <rPh sb="16" eb="17">
      <t>ナイ</t>
    </rPh>
    <phoneticPr fontId="1"/>
  </si>
  <si>
    <t>終了時刻を把握しやすいように切り上げました。元がよければ下記の式をコピペすれば戻ります。</t>
  </si>
  <si>
    <t>IF(E2="",0,E2+30/24/60)</t>
    <phoneticPr fontId="1"/>
  </si>
  <si>
    <t>IF(E2="",0,E2+40/24/60)</t>
    <phoneticPr fontId="1"/>
  </si>
  <si>
    <t>充電完了でクリアされる</t>
    <phoneticPr fontId="1"/>
  </si>
  <si>
    <t>充電開始で1時間後の時間が表示</t>
    <rPh sb="0" eb="2">
      <t>ジュウデン</t>
    </rPh>
    <rPh sb="2" eb="4">
      <t>カイシ</t>
    </rPh>
    <phoneticPr fontId="1"/>
  </si>
  <si>
    <t>KA 7</t>
    <phoneticPr fontId="1"/>
  </si>
  <si>
    <t>ｃ</t>
    <phoneticPr fontId="1"/>
  </si>
  <si>
    <t>SD 2</t>
    <phoneticPr fontId="1"/>
  </si>
  <si>
    <t>SD 3</t>
    <phoneticPr fontId="1"/>
  </si>
  <si>
    <t>BS 5</t>
  </si>
  <si>
    <t>SD 1</t>
    <phoneticPr fontId="1"/>
  </si>
  <si>
    <t>終了時刻を把握しやすいように切り上げました。元がよければ下記の式を終了時刻にコピペすれば戻ります。</t>
    <rPh sb="33" eb="37">
      <t>シュウリョウジコク</t>
    </rPh>
    <phoneticPr fontId="1"/>
  </si>
  <si>
    <t>6回連続貸出になると充電必要となる</t>
    <rPh sb="1" eb="2">
      <t>カイ</t>
    </rPh>
    <rPh sb="2" eb="4">
      <t>レンゾク</t>
    </rPh>
    <rPh sb="4" eb="6">
      <t>カシダ</t>
    </rPh>
    <phoneticPr fontId="1"/>
  </si>
  <si>
    <t>BS 4</t>
    <phoneticPr fontId="1"/>
  </si>
  <si>
    <t>BS 3</t>
    <phoneticPr fontId="1"/>
  </si>
  <si>
    <t>BS 2</t>
  </si>
  <si>
    <t>SD 5</t>
    <phoneticPr fontId="1"/>
  </si>
  <si>
    <t>BS 6</t>
    <phoneticPr fontId="1"/>
  </si>
  <si>
    <t>BS 1</t>
    <phoneticPr fontId="1"/>
  </si>
  <si>
    <t>BS 7</t>
  </si>
  <si>
    <t>BS 8</t>
  </si>
  <si>
    <t>4回貸出になると充電必要となる</t>
    <rPh sb="1" eb="2">
      <t>カイ</t>
    </rPh>
    <rPh sb="2" eb="4">
      <t>カシダ</t>
    </rPh>
    <phoneticPr fontId="1"/>
  </si>
  <si>
    <t>充電開始で約2時間後の時間が表示</t>
    <rPh sb="0" eb="2">
      <t>ジュウデン</t>
    </rPh>
    <rPh sb="2" eb="4">
      <t>カイシ</t>
    </rPh>
    <rPh sb="5" eb="6">
      <t>ヤク</t>
    </rPh>
    <phoneticPr fontId="1"/>
  </si>
  <si>
    <t>BS 3</t>
  </si>
  <si>
    <t>BS 4</t>
  </si>
  <si>
    <t>BS 6</t>
  </si>
  <si>
    <t>5回貸出になると充電必要となる</t>
    <rPh sb="1" eb="2">
      <t>カイ</t>
    </rPh>
    <rPh sb="2" eb="4">
      <t>カシダ</t>
    </rPh>
    <phoneticPr fontId="1"/>
  </si>
  <si>
    <t>充電開始で約1時間後の時間が表示</t>
    <rPh sb="0" eb="2">
      <t>ジュウデン</t>
    </rPh>
    <rPh sb="2" eb="4">
      <t>カイシ</t>
    </rPh>
    <rPh sb="5" eb="6">
      <t>ヤク</t>
    </rPh>
    <phoneticPr fontId="1"/>
  </si>
  <si>
    <t>充電完了でクリアされる</t>
  </si>
  <si>
    <t>BS A</t>
    <phoneticPr fontId="1"/>
  </si>
  <si>
    <t>BS B</t>
    <phoneticPr fontId="1"/>
  </si>
  <si>
    <t>BS C</t>
    <phoneticPr fontId="1"/>
  </si>
  <si>
    <t>BS D</t>
    <phoneticPr fontId="1"/>
  </si>
  <si>
    <t>BS H</t>
    <phoneticPr fontId="1"/>
  </si>
  <si>
    <t>BS F</t>
    <phoneticPr fontId="1"/>
  </si>
  <si>
    <t>BS E</t>
    <phoneticPr fontId="1"/>
  </si>
  <si>
    <t>BS G</t>
    <phoneticPr fontId="1"/>
  </si>
  <si>
    <t>2/3以降準備出来
次第使用予定</t>
    <rPh sb="3" eb="5">
      <t>イコウ</t>
    </rPh>
    <rPh sb="5" eb="7">
      <t>ジュンビ</t>
    </rPh>
    <rPh sb="7" eb="9">
      <t>デキ</t>
    </rPh>
    <rPh sb="10" eb="12">
      <t>シダイ</t>
    </rPh>
    <rPh sb="12" eb="14">
      <t>シヨウ</t>
    </rPh>
    <rPh sb="14" eb="16">
      <t>ヨテイ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</si>
</sst>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22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20"/>
      <name val="MS Mincho"/>
      <family val="1"/>
      <charset val="128"/>
    </font>
    <font>
      <b/>
      <sz val="20"/>
      <name val="MS Mincho"/>
      <family val="1"/>
    </font>
    <font>
      <b/>
      <sz val="14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4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theme="7"/>
      <name val="ＭＳ Ｐゴシック"/>
      <family val="3"/>
      <charset val="128"/>
    </font>
    <font>
      <b/>
      <sz val="20"/>
      <color theme="1"/>
      <name val="MS Mincho"/>
      <family val="1"/>
      <charset val="128"/>
    </font>
    <font>
      <sz val="10"/>
      <color rgb="FFFF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4"/>
      <color rgb="FFFFFF0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20"/>
      <color theme="0"/>
      <name val="MS Mincho"/>
      <family val="1"/>
      <charset val="128"/>
    </font>
    <font>
      <sz val="10"/>
      <color rgb="FF000000"/>
      <name val="ＭＳ Ｐゴシック"/>
      <family val="2"/>
      <charset val="128"/>
    </font>
    <font>
      <sz val="12"/>
      <color rgb="FF000000"/>
      <name val="Yu Gothic"/>
      <family val="3"/>
      <charset val="128"/>
    </font>
    <font>
      <sz val="12"/>
      <name val="Yu Gothic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1" xfId="0" applyBorder="1"/>
    <xf numFmtId="176" fontId="0" fillId="0" borderId="1" xfId="0" applyNumberFormat="1" applyBorder="1"/>
    <xf numFmtId="22" fontId="0" fillId="0" borderId="1" xfId="0" applyNumberFormat="1" applyBorder="1"/>
    <xf numFmtId="32" fontId="0" fillId="0" borderId="1" xfId="0" applyNumberFormat="1" applyBorder="1"/>
    <xf numFmtId="32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32" fontId="0" fillId="0" borderId="1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32" fontId="0" fillId="5" borderId="1" xfId="0" applyNumberForma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0" fillId="0" borderId="2" xfId="0" applyBorder="1"/>
    <xf numFmtId="176" fontId="0" fillId="0" borderId="2" xfId="0" applyNumberFormat="1" applyBorder="1"/>
    <xf numFmtId="0" fontId="7" fillId="0" borderId="2" xfId="0" applyFont="1" applyBorder="1"/>
    <xf numFmtId="32" fontId="7" fillId="0" borderId="2" xfId="0" applyNumberFormat="1" applyFont="1" applyBorder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32" fontId="9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/>
    <xf numFmtId="0" fontId="0" fillId="6" borderId="0" xfId="0" applyFill="1"/>
    <xf numFmtId="0" fontId="3" fillId="6" borderId="1" xfId="0" applyFont="1" applyFill="1" applyBorder="1" applyAlignment="1">
      <alignment horizontal="center"/>
    </xf>
    <xf numFmtId="22" fontId="0" fillId="6" borderId="1" xfId="0" applyNumberFormat="1" applyFill="1" applyBorder="1"/>
    <xf numFmtId="32" fontId="0" fillId="6" borderId="1" xfId="0" applyNumberFormat="1" applyFill="1" applyBorder="1" applyAlignment="1">
      <alignment horizontal="center" vertical="center"/>
    </xf>
    <xf numFmtId="0" fontId="11" fillId="7" borderId="0" xfId="0" applyFont="1" applyFill="1"/>
    <xf numFmtId="0" fontId="0" fillId="8" borderId="0" xfId="0" applyFill="1"/>
    <xf numFmtId="0" fontId="7" fillId="8" borderId="0" xfId="0" applyFont="1" applyFill="1"/>
    <xf numFmtId="0" fontId="0" fillId="7" borderId="2" xfId="0" applyFill="1" applyBorder="1"/>
    <xf numFmtId="0" fontId="0" fillId="7" borderId="0" xfId="0" applyFill="1"/>
    <xf numFmtId="32" fontId="0" fillId="7" borderId="1" xfId="0" applyNumberFormat="1" applyFill="1" applyBorder="1" applyAlignment="1">
      <alignment horizontal="center" vertical="center"/>
    </xf>
    <xf numFmtId="22" fontId="0" fillId="7" borderId="1" xfId="0" applyNumberFormat="1" applyFill="1" applyBorder="1"/>
    <xf numFmtId="0" fontId="4" fillId="7" borderId="1" xfId="0" applyFont="1" applyFill="1" applyBorder="1" applyAlignment="1">
      <alignment horizontal="center" vertical="center"/>
    </xf>
    <xf numFmtId="0" fontId="13" fillId="0" borderId="0" xfId="0" applyFont="1"/>
    <xf numFmtId="32" fontId="6" fillId="0" borderId="0" xfId="0" applyNumberFormat="1" applyFont="1" applyAlignment="1">
      <alignment horizontal="center" vertical="center"/>
    </xf>
    <xf numFmtId="32" fontId="0" fillId="0" borderId="0" xfId="0" applyNumberFormat="1" applyAlignment="1">
      <alignment horizontal="center" vertical="center"/>
    </xf>
    <xf numFmtId="0" fontId="0" fillId="9" borderId="0" xfId="0" applyFill="1"/>
    <xf numFmtId="22" fontId="7" fillId="7" borderId="1" xfId="0" applyNumberFormat="1" applyFont="1" applyFill="1" applyBorder="1"/>
    <xf numFmtId="0" fontId="0" fillId="0" borderId="3" xfId="0" applyBorder="1" applyAlignment="1">
      <alignment horizontal="center" vertical="center"/>
    </xf>
    <xf numFmtId="32" fontId="6" fillId="7" borderId="0" xfId="0" applyNumberFormat="1" applyFont="1" applyFill="1" applyAlignment="1">
      <alignment horizontal="center" vertical="center"/>
    </xf>
    <xf numFmtId="32" fontId="0" fillId="7" borderId="0" xfId="0" applyNumberFormat="1" applyFill="1" applyAlignment="1">
      <alignment horizontal="center" vertical="center"/>
    </xf>
    <xf numFmtId="32" fontId="0" fillId="7" borderId="0" xfId="0" applyNumberFormat="1" applyFill="1"/>
    <xf numFmtId="22" fontId="7" fillId="0" borderId="1" xfId="0" applyNumberFormat="1" applyFont="1" applyBorder="1"/>
    <xf numFmtId="32" fontId="4" fillId="0" borderId="1" xfId="0" applyNumberFormat="1" applyFont="1" applyBorder="1" applyAlignment="1">
      <alignment horizontal="center" vertical="center"/>
    </xf>
    <xf numFmtId="32" fontId="4" fillId="5" borderId="1" xfId="0" applyNumberFormat="1" applyFont="1" applyFill="1" applyBorder="1" applyAlignment="1">
      <alignment horizontal="center" vertical="center"/>
    </xf>
    <xf numFmtId="32" fontId="14" fillId="5" borderId="1" xfId="0" applyNumberFormat="1" applyFont="1" applyFill="1" applyBorder="1" applyAlignment="1">
      <alignment horizontal="center" vertical="center"/>
    </xf>
    <xf numFmtId="32" fontId="4" fillId="7" borderId="1" xfId="0" applyNumberFormat="1" applyFont="1" applyFill="1" applyBorder="1" applyAlignment="1">
      <alignment horizontal="center" vertical="center"/>
    </xf>
    <xf numFmtId="176" fontId="15" fillId="7" borderId="1" xfId="0" applyNumberFormat="1" applyFont="1" applyFill="1" applyBorder="1"/>
    <xf numFmtId="32" fontId="15" fillId="7" borderId="1" xfId="0" applyNumberFormat="1" applyFont="1" applyFill="1" applyBorder="1"/>
    <xf numFmtId="0" fontId="15" fillId="7" borderId="0" xfId="0" applyFont="1" applyFill="1"/>
    <xf numFmtId="0" fontId="14" fillId="7" borderId="1" xfId="0" applyFont="1" applyFill="1" applyBorder="1" applyAlignment="1">
      <alignment horizontal="center" vertical="center"/>
    </xf>
    <xf numFmtId="0" fontId="15" fillId="7" borderId="1" xfId="0" applyFont="1" applyFill="1" applyBorder="1"/>
    <xf numFmtId="32" fontId="14" fillId="7" borderId="1" xfId="0" applyNumberFormat="1" applyFont="1" applyFill="1" applyBorder="1" applyAlignment="1">
      <alignment horizontal="center" vertical="center"/>
    </xf>
    <xf numFmtId="32" fontId="16" fillId="5" borderId="1" xfId="0" applyNumberFormat="1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76" fontId="15" fillId="0" borderId="1" xfId="0" applyNumberFormat="1" applyFont="1" applyBorder="1"/>
    <xf numFmtId="32" fontId="15" fillId="0" borderId="1" xfId="0" applyNumberFormat="1" applyFont="1" applyBorder="1"/>
    <xf numFmtId="0" fontId="15" fillId="0" borderId="0" xfId="0" applyFont="1"/>
    <xf numFmtId="0" fontId="0" fillId="0" borderId="3" xfId="0" applyBorder="1" applyAlignment="1">
      <alignment vertical="center" wrapText="1"/>
    </xf>
    <xf numFmtId="0" fontId="17" fillId="0" borderId="2" xfId="0" applyFont="1" applyBorder="1" applyAlignment="1">
      <alignment horizontal="center" vertical="center"/>
    </xf>
    <xf numFmtId="176" fontId="15" fillId="0" borderId="5" xfId="0" applyNumberFormat="1" applyFont="1" applyBorder="1"/>
    <xf numFmtId="32" fontId="15" fillId="0" borderId="5" xfId="0" applyNumberFormat="1" applyFont="1" applyBorder="1"/>
    <xf numFmtId="32" fontId="14" fillId="7" borderId="5" xfId="0" applyNumberFormat="1" applyFont="1" applyFill="1" applyBorder="1" applyAlignment="1">
      <alignment horizontal="center" vertical="center"/>
    </xf>
    <xf numFmtId="32" fontId="14" fillId="5" borderId="5" xfId="0" applyNumberFormat="1" applyFont="1" applyFill="1" applyBorder="1" applyAlignment="1">
      <alignment horizontal="center" vertical="center"/>
    </xf>
    <xf numFmtId="22" fontId="0" fillId="7" borderId="4" xfId="0" applyNumberFormat="1" applyFill="1" applyBorder="1"/>
    <xf numFmtId="32" fontId="14" fillId="7" borderId="4" xfId="0" applyNumberFormat="1" applyFont="1" applyFill="1" applyBorder="1" applyAlignment="1">
      <alignment horizontal="center" vertical="center"/>
    </xf>
    <xf numFmtId="32" fontId="14" fillId="5" borderId="4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32" fontId="6" fillId="0" borderId="6" xfId="0" applyNumberFormat="1" applyFont="1" applyBorder="1" applyAlignment="1">
      <alignment horizontal="center" vertical="center"/>
    </xf>
    <xf numFmtId="176" fontId="0" fillId="0" borderId="0" xfId="0" applyNumberFormat="1"/>
    <xf numFmtId="32" fontId="7" fillId="0" borderId="0" xfId="0" applyNumberFormat="1" applyFont="1"/>
    <xf numFmtId="0" fontId="0" fillId="0" borderId="7" xfId="0" applyBorder="1"/>
    <xf numFmtId="0" fontId="18" fillId="10" borderId="5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176" fontId="15" fillId="12" borderId="1" xfId="0" applyNumberFormat="1" applyFont="1" applyFill="1" applyBorder="1"/>
    <xf numFmtId="32" fontId="15" fillId="12" borderId="1" xfId="0" applyNumberFormat="1" applyFont="1" applyFill="1" applyBorder="1"/>
    <xf numFmtId="32" fontId="14" fillId="12" borderId="1" xfId="0" applyNumberFormat="1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176" fontId="0" fillId="12" borderId="1" xfId="0" applyNumberFormat="1" applyFill="1" applyBorder="1"/>
    <xf numFmtId="32" fontId="0" fillId="12" borderId="1" xfId="0" applyNumberFormat="1" applyFill="1" applyBorder="1"/>
    <xf numFmtId="32" fontId="4" fillId="12" borderId="1" xfId="0" applyNumberFormat="1" applyFont="1" applyFill="1" applyBorder="1" applyAlignment="1">
      <alignment horizontal="center" vertical="center"/>
    </xf>
    <xf numFmtId="0" fontId="0" fillId="12" borderId="1" xfId="0" applyFill="1" applyBorder="1"/>
    <xf numFmtId="22" fontId="7" fillId="12" borderId="1" xfId="0" applyNumberFormat="1" applyFont="1" applyFill="1" applyBorder="1"/>
    <xf numFmtId="0" fontId="2" fillId="11" borderId="1" xfId="0" applyFont="1" applyFill="1" applyBorder="1" applyAlignment="1">
      <alignment horizontal="center" vertical="center"/>
    </xf>
    <xf numFmtId="22" fontId="0" fillId="12" borderId="1" xfId="0" applyNumberFormat="1" applyFill="1" applyBorder="1"/>
    <xf numFmtId="0" fontId="0" fillId="12" borderId="0" xfId="0" applyFill="1"/>
    <xf numFmtId="0" fontId="7" fillId="12" borderId="0" xfId="0" applyFont="1" applyFill="1"/>
    <xf numFmtId="0" fontId="10" fillId="0" borderId="0" xfId="0" applyFont="1" applyAlignment="1">
      <alignment horizontal="left" vertical="center" wrapText="1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420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1</xdr:row>
          <xdr:rowOff>25400</xdr:rowOff>
        </xdr:from>
        <xdr:to>
          <xdr:col>3</xdr:col>
          <xdr:colOff>1054100</xdr:colOff>
          <xdr:row>1</xdr:row>
          <xdr:rowOff>406400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1</xdr:row>
          <xdr:rowOff>25400</xdr:rowOff>
        </xdr:from>
        <xdr:to>
          <xdr:col>2</xdr:col>
          <xdr:colOff>1066800</xdr:colOff>
          <xdr:row>1</xdr:row>
          <xdr:rowOff>393700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25400</xdr:rowOff>
        </xdr:from>
        <xdr:to>
          <xdr:col>7</xdr:col>
          <xdr:colOff>292100</xdr:colOff>
          <xdr:row>2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1</xdr:row>
          <xdr:rowOff>25400</xdr:rowOff>
        </xdr:from>
        <xdr:to>
          <xdr:col>13</xdr:col>
          <xdr:colOff>838200</xdr:colOff>
          <xdr:row>1</xdr:row>
          <xdr:rowOff>381000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25400</xdr:colOff>
          <xdr:row>1</xdr:row>
          <xdr:rowOff>38100</xdr:rowOff>
        </xdr:from>
        <xdr:to>
          <xdr:col>15</xdr:col>
          <xdr:colOff>546100</xdr:colOff>
          <xdr:row>2</xdr:row>
          <xdr:rowOff>177800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ALL　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1</xdr:row>
          <xdr:rowOff>25400</xdr:rowOff>
        </xdr:from>
        <xdr:to>
          <xdr:col>12</xdr:col>
          <xdr:colOff>25400</xdr:colOff>
          <xdr:row>1</xdr:row>
          <xdr:rowOff>393700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2</xdr:row>
          <xdr:rowOff>25400</xdr:rowOff>
        </xdr:from>
        <xdr:to>
          <xdr:col>3</xdr:col>
          <xdr:colOff>1054100</xdr:colOff>
          <xdr:row>2</xdr:row>
          <xdr:rowOff>406400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2</xdr:row>
          <xdr:rowOff>25400</xdr:rowOff>
        </xdr:from>
        <xdr:to>
          <xdr:col>2</xdr:col>
          <xdr:colOff>1066800</xdr:colOff>
          <xdr:row>2</xdr:row>
          <xdr:rowOff>393700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0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</xdr:row>
          <xdr:rowOff>25400</xdr:rowOff>
        </xdr:from>
        <xdr:to>
          <xdr:col>7</xdr:col>
          <xdr:colOff>292100</xdr:colOff>
          <xdr:row>3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2</xdr:row>
          <xdr:rowOff>25400</xdr:rowOff>
        </xdr:from>
        <xdr:to>
          <xdr:col>13</xdr:col>
          <xdr:colOff>838200</xdr:colOff>
          <xdr:row>2</xdr:row>
          <xdr:rowOff>381000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2</xdr:row>
          <xdr:rowOff>25400</xdr:rowOff>
        </xdr:from>
        <xdr:to>
          <xdr:col>12</xdr:col>
          <xdr:colOff>25400</xdr:colOff>
          <xdr:row>2</xdr:row>
          <xdr:rowOff>393700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3</xdr:row>
          <xdr:rowOff>25400</xdr:rowOff>
        </xdr:from>
        <xdr:to>
          <xdr:col>3</xdr:col>
          <xdr:colOff>1054100</xdr:colOff>
          <xdr:row>3</xdr:row>
          <xdr:rowOff>406400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3</xdr:row>
          <xdr:rowOff>25400</xdr:rowOff>
        </xdr:from>
        <xdr:to>
          <xdr:col>2</xdr:col>
          <xdr:colOff>1066800</xdr:colOff>
          <xdr:row>3</xdr:row>
          <xdr:rowOff>393700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0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</xdr:row>
          <xdr:rowOff>25400</xdr:rowOff>
        </xdr:from>
        <xdr:to>
          <xdr:col>7</xdr:col>
          <xdr:colOff>292100</xdr:colOff>
          <xdr:row>4</xdr:row>
          <xdr:rowOff>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0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3</xdr:row>
          <xdr:rowOff>25400</xdr:rowOff>
        </xdr:from>
        <xdr:to>
          <xdr:col>13</xdr:col>
          <xdr:colOff>838200</xdr:colOff>
          <xdr:row>3</xdr:row>
          <xdr:rowOff>381000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0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3</xdr:row>
          <xdr:rowOff>25400</xdr:rowOff>
        </xdr:from>
        <xdr:to>
          <xdr:col>12</xdr:col>
          <xdr:colOff>25400</xdr:colOff>
          <xdr:row>3</xdr:row>
          <xdr:rowOff>393700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0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4</xdr:row>
          <xdr:rowOff>25400</xdr:rowOff>
        </xdr:from>
        <xdr:to>
          <xdr:col>3</xdr:col>
          <xdr:colOff>1054100</xdr:colOff>
          <xdr:row>4</xdr:row>
          <xdr:rowOff>406400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0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4</xdr:row>
          <xdr:rowOff>25400</xdr:rowOff>
        </xdr:from>
        <xdr:to>
          <xdr:col>2</xdr:col>
          <xdr:colOff>1066800</xdr:colOff>
          <xdr:row>4</xdr:row>
          <xdr:rowOff>393700</xdr:rowOff>
        </xdr:to>
        <xdr:sp macro="" textlink="">
          <xdr:nvSpPr>
            <xdr:cNvPr id="13332" name="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0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4</xdr:row>
          <xdr:rowOff>25400</xdr:rowOff>
        </xdr:from>
        <xdr:to>
          <xdr:col>7</xdr:col>
          <xdr:colOff>292100</xdr:colOff>
          <xdr:row>5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0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4</xdr:row>
          <xdr:rowOff>25400</xdr:rowOff>
        </xdr:from>
        <xdr:to>
          <xdr:col>13</xdr:col>
          <xdr:colOff>838200</xdr:colOff>
          <xdr:row>4</xdr:row>
          <xdr:rowOff>381000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0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4</xdr:row>
          <xdr:rowOff>25400</xdr:rowOff>
        </xdr:from>
        <xdr:to>
          <xdr:col>12</xdr:col>
          <xdr:colOff>25400</xdr:colOff>
          <xdr:row>4</xdr:row>
          <xdr:rowOff>393700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5</xdr:row>
          <xdr:rowOff>25400</xdr:rowOff>
        </xdr:from>
        <xdr:to>
          <xdr:col>3</xdr:col>
          <xdr:colOff>1054100</xdr:colOff>
          <xdr:row>5</xdr:row>
          <xdr:rowOff>406400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0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5</xdr:row>
          <xdr:rowOff>25400</xdr:rowOff>
        </xdr:from>
        <xdr:to>
          <xdr:col>2</xdr:col>
          <xdr:colOff>1066800</xdr:colOff>
          <xdr:row>5</xdr:row>
          <xdr:rowOff>393700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0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</xdr:row>
          <xdr:rowOff>25400</xdr:rowOff>
        </xdr:from>
        <xdr:to>
          <xdr:col>7</xdr:col>
          <xdr:colOff>292100</xdr:colOff>
          <xdr:row>6</xdr:row>
          <xdr:rowOff>0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0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5</xdr:row>
          <xdr:rowOff>25400</xdr:rowOff>
        </xdr:from>
        <xdr:to>
          <xdr:col>13</xdr:col>
          <xdr:colOff>838200</xdr:colOff>
          <xdr:row>5</xdr:row>
          <xdr:rowOff>381000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0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5</xdr:row>
          <xdr:rowOff>25400</xdr:rowOff>
        </xdr:from>
        <xdr:to>
          <xdr:col>12</xdr:col>
          <xdr:colOff>25400</xdr:colOff>
          <xdr:row>5</xdr:row>
          <xdr:rowOff>393700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0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6</xdr:row>
          <xdr:rowOff>25400</xdr:rowOff>
        </xdr:from>
        <xdr:to>
          <xdr:col>3</xdr:col>
          <xdr:colOff>1054100</xdr:colOff>
          <xdr:row>6</xdr:row>
          <xdr:rowOff>406400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0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6</xdr:row>
          <xdr:rowOff>25400</xdr:rowOff>
        </xdr:from>
        <xdr:to>
          <xdr:col>2</xdr:col>
          <xdr:colOff>1066800</xdr:colOff>
          <xdr:row>6</xdr:row>
          <xdr:rowOff>393700</xdr:rowOff>
        </xdr:to>
        <xdr:sp macro="" textlink="">
          <xdr:nvSpPr>
            <xdr:cNvPr id="13342" name="Button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0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25400</xdr:rowOff>
        </xdr:from>
        <xdr:to>
          <xdr:col>7</xdr:col>
          <xdr:colOff>292100</xdr:colOff>
          <xdr:row>7</xdr:row>
          <xdr:rowOff>0</xdr:rowOff>
        </xdr:to>
        <xdr:sp macro="" textlink="">
          <xdr:nvSpPr>
            <xdr:cNvPr id="13343" name="Button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0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6</xdr:row>
          <xdr:rowOff>25400</xdr:rowOff>
        </xdr:from>
        <xdr:to>
          <xdr:col>13</xdr:col>
          <xdr:colOff>838200</xdr:colOff>
          <xdr:row>6</xdr:row>
          <xdr:rowOff>381000</xdr:rowOff>
        </xdr:to>
        <xdr:sp macro="" textlink="">
          <xdr:nvSpPr>
            <xdr:cNvPr id="13344" name="Butto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0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6</xdr:row>
          <xdr:rowOff>25400</xdr:rowOff>
        </xdr:from>
        <xdr:to>
          <xdr:col>12</xdr:col>
          <xdr:colOff>25400</xdr:colOff>
          <xdr:row>6</xdr:row>
          <xdr:rowOff>393700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0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7</xdr:row>
          <xdr:rowOff>25400</xdr:rowOff>
        </xdr:from>
        <xdr:to>
          <xdr:col>3</xdr:col>
          <xdr:colOff>1054100</xdr:colOff>
          <xdr:row>7</xdr:row>
          <xdr:rowOff>406400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0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7</xdr:row>
          <xdr:rowOff>25400</xdr:rowOff>
        </xdr:from>
        <xdr:to>
          <xdr:col>2</xdr:col>
          <xdr:colOff>1066800</xdr:colOff>
          <xdr:row>7</xdr:row>
          <xdr:rowOff>393700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0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25400</xdr:rowOff>
        </xdr:from>
        <xdr:to>
          <xdr:col>7</xdr:col>
          <xdr:colOff>292100</xdr:colOff>
          <xdr:row>8</xdr:row>
          <xdr:rowOff>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0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7</xdr:row>
          <xdr:rowOff>25400</xdr:rowOff>
        </xdr:from>
        <xdr:to>
          <xdr:col>13</xdr:col>
          <xdr:colOff>838200</xdr:colOff>
          <xdr:row>7</xdr:row>
          <xdr:rowOff>381000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0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7</xdr:row>
          <xdr:rowOff>25400</xdr:rowOff>
        </xdr:from>
        <xdr:to>
          <xdr:col>12</xdr:col>
          <xdr:colOff>25400</xdr:colOff>
          <xdr:row>7</xdr:row>
          <xdr:rowOff>393700</xdr:rowOff>
        </xdr:to>
        <xdr:sp macro="" textlink="">
          <xdr:nvSpPr>
            <xdr:cNvPr id="13350" name="Button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0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101600</xdr:colOff>
          <xdr:row>8</xdr:row>
          <xdr:rowOff>25400</xdr:rowOff>
        </xdr:from>
        <xdr:to>
          <xdr:col>3</xdr:col>
          <xdr:colOff>1054100</xdr:colOff>
          <xdr:row>8</xdr:row>
          <xdr:rowOff>406400</xdr:rowOff>
        </xdr:to>
        <xdr:sp macro="" textlink="">
          <xdr:nvSpPr>
            <xdr:cNvPr id="13351" name="Button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0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101600</xdr:colOff>
          <xdr:row>8</xdr:row>
          <xdr:rowOff>25400</xdr:rowOff>
        </xdr:from>
        <xdr:to>
          <xdr:col>2</xdr:col>
          <xdr:colOff>1066800</xdr:colOff>
          <xdr:row>8</xdr:row>
          <xdr:rowOff>393700</xdr:rowOff>
        </xdr:to>
        <xdr:sp macro="" textlink="">
          <xdr:nvSpPr>
            <xdr:cNvPr id="13352" name="Button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0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</xdr:row>
          <xdr:rowOff>25400</xdr:rowOff>
        </xdr:from>
        <xdr:to>
          <xdr:col>7</xdr:col>
          <xdr:colOff>292100</xdr:colOff>
          <xdr:row>9</xdr:row>
          <xdr:rowOff>0</xdr:rowOff>
        </xdr:to>
        <xdr:sp macro="" textlink="">
          <xdr:nvSpPr>
            <xdr:cNvPr id="13353" name="Button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0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127000</xdr:colOff>
          <xdr:row>8</xdr:row>
          <xdr:rowOff>25400</xdr:rowOff>
        </xdr:from>
        <xdr:to>
          <xdr:col>13</xdr:col>
          <xdr:colOff>838200</xdr:colOff>
          <xdr:row>8</xdr:row>
          <xdr:rowOff>381000</xdr:rowOff>
        </xdr:to>
        <xdr:sp macro="" textlink="">
          <xdr:nvSpPr>
            <xdr:cNvPr id="13354" name="Button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0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25400</xdr:rowOff>
        </xdr:from>
        <xdr:to>
          <xdr:col>12</xdr:col>
          <xdr:colOff>25400</xdr:colOff>
          <xdr:row>8</xdr:row>
          <xdr:rowOff>393700</xdr:rowOff>
        </xdr:to>
        <xdr:sp macro="" textlink="">
          <xdr:nvSpPr>
            <xdr:cNvPr id="13355" name="Button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0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</xdr:row>
          <xdr:rowOff>25400</xdr:rowOff>
        </xdr:from>
        <xdr:to>
          <xdr:col>3</xdr:col>
          <xdr:colOff>1054100</xdr:colOff>
          <xdr:row>1</xdr:row>
          <xdr:rowOff>393700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</xdr:row>
          <xdr:rowOff>25400</xdr:rowOff>
        </xdr:from>
        <xdr:to>
          <xdr:col>2</xdr:col>
          <xdr:colOff>1054100</xdr:colOff>
          <xdr:row>1</xdr:row>
          <xdr:rowOff>393700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2</xdr:row>
          <xdr:rowOff>25400</xdr:rowOff>
        </xdr:from>
        <xdr:to>
          <xdr:col>2</xdr:col>
          <xdr:colOff>1054100</xdr:colOff>
          <xdr:row>2</xdr:row>
          <xdr:rowOff>393700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3</xdr:row>
          <xdr:rowOff>25400</xdr:rowOff>
        </xdr:from>
        <xdr:to>
          <xdr:col>2</xdr:col>
          <xdr:colOff>1054100</xdr:colOff>
          <xdr:row>3</xdr:row>
          <xdr:rowOff>393700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4</xdr:row>
          <xdr:rowOff>25400</xdr:rowOff>
        </xdr:from>
        <xdr:to>
          <xdr:col>2</xdr:col>
          <xdr:colOff>1054100</xdr:colOff>
          <xdr:row>4</xdr:row>
          <xdr:rowOff>393700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5</xdr:row>
          <xdr:rowOff>25400</xdr:rowOff>
        </xdr:from>
        <xdr:to>
          <xdr:col>2</xdr:col>
          <xdr:colOff>1054100</xdr:colOff>
          <xdr:row>5</xdr:row>
          <xdr:rowOff>393700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6</xdr:row>
          <xdr:rowOff>25400</xdr:rowOff>
        </xdr:from>
        <xdr:to>
          <xdr:col>2</xdr:col>
          <xdr:colOff>1054100</xdr:colOff>
          <xdr:row>6</xdr:row>
          <xdr:rowOff>393700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2</xdr:row>
          <xdr:rowOff>12700</xdr:rowOff>
        </xdr:from>
        <xdr:to>
          <xdr:col>3</xdr:col>
          <xdr:colOff>1054100</xdr:colOff>
          <xdr:row>2</xdr:row>
          <xdr:rowOff>368300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3</xdr:row>
          <xdr:rowOff>25400</xdr:rowOff>
        </xdr:from>
        <xdr:to>
          <xdr:col>3</xdr:col>
          <xdr:colOff>1054100</xdr:colOff>
          <xdr:row>3</xdr:row>
          <xdr:rowOff>393700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4</xdr:row>
          <xdr:rowOff>25400</xdr:rowOff>
        </xdr:from>
        <xdr:to>
          <xdr:col>3</xdr:col>
          <xdr:colOff>1054100</xdr:colOff>
          <xdr:row>4</xdr:row>
          <xdr:rowOff>393700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1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25400</xdr:rowOff>
        </xdr:from>
        <xdr:to>
          <xdr:col>3</xdr:col>
          <xdr:colOff>1054100</xdr:colOff>
          <xdr:row>5</xdr:row>
          <xdr:rowOff>393700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1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</xdr:row>
          <xdr:rowOff>25400</xdr:rowOff>
        </xdr:from>
        <xdr:to>
          <xdr:col>3</xdr:col>
          <xdr:colOff>1054100</xdr:colOff>
          <xdr:row>6</xdr:row>
          <xdr:rowOff>393700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1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</xdr:row>
          <xdr:rowOff>25400</xdr:rowOff>
        </xdr:from>
        <xdr:to>
          <xdr:col>7</xdr:col>
          <xdr:colOff>457199</xdr:colOff>
          <xdr:row>1</xdr:row>
          <xdr:rowOff>393700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1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457199</xdr:colOff>
          <xdr:row>2</xdr:row>
          <xdr:rowOff>393700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1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457199</xdr:colOff>
          <xdr:row>2</xdr:row>
          <xdr:rowOff>393700</xdr:rowOff>
        </xdr:to>
        <xdr:sp macro="" textlink="">
          <xdr:nvSpPr>
            <xdr:cNvPr id="9235" name="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1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3</xdr:row>
          <xdr:rowOff>25400</xdr:rowOff>
        </xdr:from>
        <xdr:to>
          <xdr:col>7</xdr:col>
          <xdr:colOff>457199</xdr:colOff>
          <xdr:row>3</xdr:row>
          <xdr:rowOff>393700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1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4</xdr:row>
          <xdr:rowOff>25400</xdr:rowOff>
        </xdr:from>
        <xdr:to>
          <xdr:col>7</xdr:col>
          <xdr:colOff>457199</xdr:colOff>
          <xdr:row>4</xdr:row>
          <xdr:rowOff>393700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1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5</xdr:row>
          <xdr:rowOff>25400</xdr:rowOff>
        </xdr:from>
        <xdr:to>
          <xdr:col>7</xdr:col>
          <xdr:colOff>457199</xdr:colOff>
          <xdr:row>5</xdr:row>
          <xdr:rowOff>393700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6</xdr:row>
          <xdr:rowOff>25400</xdr:rowOff>
        </xdr:from>
        <xdr:to>
          <xdr:col>7</xdr:col>
          <xdr:colOff>457199</xdr:colOff>
          <xdr:row>6</xdr:row>
          <xdr:rowOff>393700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1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533400</xdr:colOff>
          <xdr:row>1</xdr:row>
          <xdr:rowOff>25400</xdr:rowOff>
        </xdr:from>
        <xdr:to>
          <xdr:col>15</xdr:col>
          <xdr:colOff>495300</xdr:colOff>
          <xdr:row>2</xdr:row>
          <xdr:rowOff>50800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1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ALL　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7</xdr:row>
          <xdr:rowOff>25400</xdr:rowOff>
        </xdr:from>
        <xdr:to>
          <xdr:col>2</xdr:col>
          <xdr:colOff>1054100</xdr:colOff>
          <xdr:row>7</xdr:row>
          <xdr:rowOff>393700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1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7</xdr:row>
          <xdr:rowOff>25400</xdr:rowOff>
        </xdr:from>
        <xdr:to>
          <xdr:col>3</xdr:col>
          <xdr:colOff>1054100</xdr:colOff>
          <xdr:row>7</xdr:row>
          <xdr:rowOff>393700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1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7</xdr:row>
          <xdr:rowOff>25400</xdr:rowOff>
        </xdr:from>
        <xdr:to>
          <xdr:col>7</xdr:col>
          <xdr:colOff>457199</xdr:colOff>
          <xdr:row>7</xdr:row>
          <xdr:rowOff>393700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1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8</xdr:row>
          <xdr:rowOff>25400</xdr:rowOff>
        </xdr:from>
        <xdr:to>
          <xdr:col>2</xdr:col>
          <xdr:colOff>1054100</xdr:colOff>
          <xdr:row>8</xdr:row>
          <xdr:rowOff>393700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1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8</xdr:row>
          <xdr:rowOff>25400</xdr:rowOff>
        </xdr:from>
        <xdr:to>
          <xdr:col>3</xdr:col>
          <xdr:colOff>1054100</xdr:colOff>
          <xdr:row>8</xdr:row>
          <xdr:rowOff>393700</xdr:rowOff>
        </xdr:to>
        <xdr:sp macro="" textlink="">
          <xdr:nvSpPr>
            <xdr:cNvPr id="9247" name="Button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1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8</xdr:row>
          <xdr:rowOff>25400</xdr:rowOff>
        </xdr:from>
        <xdr:to>
          <xdr:col>7</xdr:col>
          <xdr:colOff>457199</xdr:colOff>
          <xdr:row>8</xdr:row>
          <xdr:rowOff>393700</xdr:rowOff>
        </xdr:to>
        <xdr:sp macro="" textlink="">
          <xdr:nvSpPr>
            <xdr:cNvPr id="9248" name="Button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1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</xdr:row>
          <xdr:rowOff>25400</xdr:rowOff>
        </xdr:from>
        <xdr:to>
          <xdr:col>13</xdr:col>
          <xdr:colOff>381000</xdr:colOff>
          <xdr:row>1</xdr:row>
          <xdr:rowOff>393700</xdr:rowOff>
        </xdr:to>
        <xdr:sp macro="" textlink="">
          <xdr:nvSpPr>
            <xdr:cNvPr id="9298" name="Button 82" hidden="1">
              <a:extLst>
                <a:ext uri="{63B3BB69-23CF-44E3-9099-C40C66FF867C}">
                  <a14:compatExt spid="_x0000_s9298"/>
                </a:ext>
                <a:ext uri="{FF2B5EF4-FFF2-40B4-BE49-F238E27FC236}">
                  <a16:creationId xmlns:a16="http://schemas.microsoft.com/office/drawing/2014/main" id="{00000000-0008-0000-0100-00005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2</xdr:row>
          <xdr:rowOff>25400</xdr:rowOff>
        </xdr:from>
        <xdr:to>
          <xdr:col>13</xdr:col>
          <xdr:colOff>381000</xdr:colOff>
          <xdr:row>2</xdr:row>
          <xdr:rowOff>393700</xdr:rowOff>
        </xdr:to>
        <xdr:sp macro="" textlink="">
          <xdr:nvSpPr>
            <xdr:cNvPr id="9299" name="Button 83" hidden="1">
              <a:extLst>
                <a:ext uri="{63B3BB69-23CF-44E3-9099-C40C66FF867C}">
                  <a14:compatExt spid="_x0000_s9299"/>
                </a:ext>
                <a:ext uri="{FF2B5EF4-FFF2-40B4-BE49-F238E27FC236}">
                  <a16:creationId xmlns:a16="http://schemas.microsoft.com/office/drawing/2014/main" id="{00000000-0008-0000-0100-00005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3</xdr:row>
          <xdr:rowOff>25400</xdr:rowOff>
        </xdr:from>
        <xdr:to>
          <xdr:col>13</xdr:col>
          <xdr:colOff>381000</xdr:colOff>
          <xdr:row>3</xdr:row>
          <xdr:rowOff>393700</xdr:rowOff>
        </xdr:to>
        <xdr:sp macro="" textlink="">
          <xdr:nvSpPr>
            <xdr:cNvPr id="9300" name="Button 84" hidden="1">
              <a:extLst>
                <a:ext uri="{63B3BB69-23CF-44E3-9099-C40C66FF867C}">
                  <a14:compatExt spid="_x0000_s9300"/>
                </a:ext>
                <a:ext uri="{FF2B5EF4-FFF2-40B4-BE49-F238E27FC236}">
                  <a16:creationId xmlns:a16="http://schemas.microsoft.com/office/drawing/2014/main" id="{00000000-0008-0000-0100-00005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4</xdr:row>
          <xdr:rowOff>25400</xdr:rowOff>
        </xdr:from>
        <xdr:to>
          <xdr:col>13</xdr:col>
          <xdr:colOff>381000</xdr:colOff>
          <xdr:row>4</xdr:row>
          <xdr:rowOff>393700</xdr:rowOff>
        </xdr:to>
        <xdr:sp macro="" textlink="">
          <xdr:nvSpPr>
            <xdr:cNvPr id="9301" name="Button 85" hidden="1">
              <a:extLst>
                <a:ext uri="{63B3BB69-23CF-44E3-9099-C40C66FF867C}">
                  <a14:compatExt spid="_x0000_s9301"/>
                </a:ext>
                <a:ext uri="{FF2B5EF4-FFF2-40B4-BE49-F238E27FC236}">
                  <a16:creationId xmlns:a16="http://schemas.microsoft.com/office/drawing/2014/main" id="{00000000-0008-0000-0100-00005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5</xdr:row>
          <xdr:rowOff>25400</xdr:rowOff>
        </xdr:from>
        <xdr:to>
          <xdr:col>13</xdr:col>
          <xdr:colOff>381000</xdr:colOff>
          <xdr:row>5</xdr:row>
          <xdr:rowOff>393700</xdr:rowOff>
        </xdr:to>
        <xdr:sp macro="" textlink="">
          <xdr:nvSpPr>
            <xdr:cNvPr id="9302" name="Button 86" hidden="1">
              <a:extLst>
                <a:ext uri="{63B3BB69-23CF-44E3-9099-C40C66FF867C}">
                  <a14:compatExt spid="_x0000_s9302"/>
                </a:ext>
                <a:ext uri="{FF2B5EF4-FFF2-40B4-BE49-F238E27FC236}">
                  <a16:creationId xmlns:a16="http://schemas.microsoft.com/office/drawing/2014/main" id="{00000000-0008-0000-0100-00005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6</xdr:row>
          <xdr:rowOff>25400</xdr:rowOff>
        </xdr:from>
        <xdr:to>
          <xdr:col>13</xdr:col>
          <xdr:colOff>381000</xdr:colOff>
          <xdr:row>6</xdr:row>
          <xdr:rowOff>393700</xdr:rowOff>
        </xdr:to>
        <xdr:sp macro="" textlink="">
          <xdr:nvSpPr>
            <xdr:cNvPr id="9303" name="Button 87" hidden="1">
              <a:extLst>
                <a:ext uri="{63B3BB69-23CF-44E3-9099-C40C66FF867C}">
                  <a14:compatExt spid="_x0000_s9303"/>
                </a:ext>
                <a:ext uri="{FF2B5EF4-FFF2-40B4-BE49-F238E27FC236}">
                  <a16:creationId xmlns:a16="http://schemas.microsoft.com/office/drawing/2014/main" id="{00000000-0008-0000-0100-00005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7</xdr:row>
          <xdr:rowOff>25400</xdr:rowOff>
        </xdr:from>
        <xdr:to>
          <xdr:col>13</xdr:col>
          <xdr:colOff>381000</xdr:colOff>
          <xdr:row>7</xdr:row>
          <xdr:rowOff>393700</xdr:rowOff>
        </xdr:to>
        <xdr:sp macro="" textlink="">
          <xdr:nvSpPr>
            <xdr:cNvPr id="9304" name="Button 88" hidden="1">
              <a:extLst>
                <a:ext uri="{63B3BB69-23CF-44E3-9099-C40C66FF867C}">
                  <a14:compatExt spid="_x0000_s9304"/>
                </a:ext>
                <a:ext uri="{FF2B5EF4-FFF2-40B4-BE49-F238E27FC236}">
                  <a16:creationId xmlns:a16="http://schemas.microsoft.com/office/drawing/2014/main" id="{00000000-0008-0000-0100-00005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8</xdr:row>
          <xdr:rowOff>25400</xdr:rowOff>
        </xdr:from>
        <xdr:to>
          <xdr:col>13</xdr:col>
          <xdr:colOff>381000</xdr:colOff>
          <xdr:row>8</xdr:row>
          <xdr:rowOff>393700</xdr:rowOff>
        </xdr:to>
        <xdr:sp macro="" textlink="">
          <xdr:nvSpPr>
            <xdr:cNvPr id="9305" name="Button 89" hidden="1">
              <a:extLst>
                <a:ext uri="{63B3BB69-23CF-44E3-9099-C40C66FF867C}">
                  <a14:compatExt spid="_x0000_s9305"/>
                </a:ext>
                <a:ext uri="{FF2B5EF4-FFF2-40B4-BE49-F238E27FC236}">
                  <a16:creationId xmlns:a16="http://schemas.microsoft.com/office/drawing/2014/main" id="{00000000-0008-0000-0100-00005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</xdr:row>
          <xdr:rowOff>25400</xdr:rowOff>
        </xdr:from>
        <xdr:to>
          <xdr:col>11</xdr:col>
          <xdr:colOff>647700</xdr:colOff>
          <xdr:row>1</xdr:row>
          <xdr:rowOff>381000</xdr:rowOff>
        </xdr:to>
        <xdr:sp macro="" textlink="">
          <xdr:nvSpPr>
            <xdr:cNvPr id="9306" name="Button 90" hidden="1">
              <a:extLst>
                <a:ext uri="{63B3BB69-23CF-44E3-9099-C40C66FF867C}">
                  <a14:compatExt spid="_x0000_s9306"/>
                </a:ext>
                <a:ext uri="{FF2B5EF4-FFF2-40B4-BE49-F238E27FC236}">
                  <a16:creationId xmlns:a16="http://schemas.microsoft.com/office/drawing/2014/main" id="{00000000-0008-0000-0100-00005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2</xdr:row>
          <xdr:rowOff>25400</xdr:rowOff>
        </xdr:from>
        <xdr:to>
          <xdr:col>11</xdr:col>
          <xdr:colOff>647700</xdr:colOff>
          <xdr:row>2</xdr:row>
          <xdr:rowOff>381000</xdr:rowOff>
        </xdr:to>
        <xdr:sp macro="" textlink="">
          <xdr:nvSpPr>
            <xdr:cNvPr id="9307" name="Button 91" hidden="1">
              <a:extLst>
                <a:ext uri="{63B3BB69-23CF-44E3-9099-C40C66FF867C}">
                  <a14:compatExt spid="_x0000_s9307"/>
                </a:ext>
                <a:ext uri="{FF2B5EF4-FFF2-40B4-BE49-F238E27FC236}">
                  <a16:creationId xmlns:a16="http://schemas.microsoft.com/office/drawing/2014/main" id="{00000000-0008-0000-0100-00005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3</xdr:row>
          <xdr:rowOff>25400</xdr:rowOff>
        </xdr:from>
        <xdr:to>
          <xdr:col>11</xdr:col>
          <xdr:colOff>647700</xdr:colOff>
          <xdr:row>3</xdr:row>
          <xdr:rowOff>381000</xdr:rowOff>
        </xdr:to>
        <xdr:sp macro="" textlink="">
          <xdr:nvSpPr>
            <xdr:cNvPr id="9308" name="Button 92" hidden="1">
              <a:extLst>
                <a:ext uri="{63B3BB69-23CF-44E3-9099-C40C66FF867C}">
                  <a14:compatExt spid="_x0000_s9308"/>
                </a:ext>
                <a:ext uri="{FF2B5EF4-FFF2-40B4-BE49-F238E27FC236}">
                  <a16:creationId xmlns:a16="http://schemas.microsoft.com/office/drawing/2014/main" id="{00000000-0008-0000-0100-00005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4</xdr:row>
          <xdr:rowOff>25400</xdr:rowOff>
        </xdr:from>
        <xdr:to>
          <xdr:col>11</xdr:col>
          <xdr:colOff>647700</xdr:colOff>
          <xdr:row>4</xdr:row>
          <xdr:rowOff>381000</xdr:rowOff>
        </xdr:to>
        <xdr:sp macro="" textlink="">
          <xdr:nvSpPr>
            <xdr:cNvPr id="9309" name="Button 93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1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5</xdr:row>
          <xdr:rowOff>25400</xdr:rowOff>
        </xdr:from>
        <xdr:to>
          <xdr:col>11</xdr:col>
          <xdr:colOff>647700</xdr:colOff>
          <xdr:row>5</xdr:row>
          <xdr:rowOff>381000</xdr:rowOff>
        </xdr:to>
        <xdr:sp macro="" textlink="">
          <xdr:nvSpPr>
            <xdr:cNvPr id="9310" name="Button 94" hidden="1">
              <a:extLst>
                <a:ext uri="{63B3BB69-23CF-44E3-9099-C40C66FF867C}">
                  <a14:compatExt spid="_x0000_s9310"/>
                </a:ext>
                <a:ext uri="{FF2B5EF4-FFF2-40B4-BE49-F238E27FC236}">
                  <a16:creationId xmlns:a16="http://schemas.microsoft.com/office/drawing/2014/main" id="{00000000-0008-0000-0100-00005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6</xdr:row>
          <xdr:rowOff>25400</xdr:rowOff>
        </xdr:from>
        <xdr:to>
          <xdr:col>11</xdr:col>
          <xdr:colOff>647700</xdr:colOff>
          <xdr:row>6</xdr:row>
          <xdr:rowOff>381000</xdr:rowOff>
        </xdr:to>
        <xdr:sp macro="" textlink="">
          <xdr:nvSpPr>
            <xdr:cNvPr id="9311" name="Button 95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1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7</xdr:row>
          <xdr:rowOff>25400</xdr:rowOff>
        </xdr:from>
        <xdr:to>
          <xdr:col>11</xdr:col>
          <xdr:colOff>647700</xdr:colOff>
          <xdr:row>7</xdr:row>
          <xdr:rowOff>381000</xdr:rowOff>
        </xdr:to>
        <xdr:sp macro="" textlink="">
          <xdr:nvSpPr>
            <xdr:cNvPr id="9312" name="Button 96" hidden="1">
              <a:extLst>
                <a:ext uri="{63B3BB69-23CF-44E3-9099-C40C66FF867C}">
                  <a14:compatExt spid="_x0000_s9312"/>
                </a:ext>
                <a:ext uri="{FF2B5EF4-FFF2-40B4-BE49-F238E27FC236}">
                  <a16:creationId xmlns:a16="http://schemas.microsoft.com/office/drawing/2014/main" id="{00000000-0008-0000-0100-00006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8</xdr:row>
          <xdr:rowOff>25400</xdr:rowOff>
        </xdr:from>
        <xdr:to>
          <xdr:col>11</xdr:col>
          <xdr:colOff>647700</xdr:colOff>
          <xdr:row>8</xdr:row>
          <xdr:rowOff>381000</xdr:rowOff>
        </xdr:to>
        <xdr:sp macro="" textlink="">
          <xdr:nvSpPr>
            <xdr:cNvPr id="9313" name="Button 97" hidden="1">
              <a:extLst>
                <a:ext uri="{63B3BB69-23CF-44E3-9099-C40C66FF867C}">
                  <a14:compatExt spid="_x0000_s9313"/>
                </a:ext>
                <a:ext uri="{FF2B5EF4-FFF2-40B4-BE49-F238E27FC236}">
                  <a16:creationId xmlns:a16="http://schemas.microsoft.com/office/drawing/2014/main" id="{00000000-0008-0000-0100-00006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25400</xdr:rowOff>
        </xdr:from>
        <xdr:to>
          <xdr:col>0</xdr:col>
          <xdr:colOff>419100</xdr:colOff>
          <xdr:row>1</xdr:row>
          <xdr:rowOff>406400</xdr:rowOff>
        </xdr:to>
        <xdr:sp macro="" textlink="">
          <xdr:nvSpPr>
            <xdr:cNvPr id="9314" name="Button 98" hidden="1">
              <a:extLst>
                <a:ext uri="{63B3BB69-23CF-44E3-9099-C40C66FF867C}">
                  <a14:compatExt spid="_x0000_s9314"/>
                </a:ext>
                <a:ext uri="{FF2B5EF4-FFF2-40B4-BE49-F238E27FC236}">
                  <a16:creationId xmlns:a16="http://schemas.microsoft.com/office/drawing/2014/main" id="{00000000-0008-0000-0100-00006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</xdr:row>
          <xdr:rowOff>25400</xdr:rowOff>
        </xdr:from>
        <xdr:to>
          <xdr:col>0</xdr:col>
          <xdr:colOff>419100</xdr:colOff>
          <xdr:row>3</xdr:row>
          <xdr:rowOff>406400</xdr:rowOff>
        </xdr:to>
        <xdr:sp macro="" textlink="">
          <xdr:nvSpPr>
            <xdr:cNvPr id="9317" name="Button 101" hidden="1">
              <a:extLst>
                <a:ext uri="{63B3BB69-23CF-44E3-9099-C40C66FF867C}">
                  <a14:compatExt spid="_x0000_s9317"/>
                </a:ext>
                <a:ext uri="{FF2B5EF4-FFF2-40B4-BE49-F238E27FC236}">
                  <a16:creationId xmlns:a16="http://schemas.microsoft.com/office/drawing/2014/main" id="{00000000-0008-0000-0100-00006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25400</xdr:rowOff>
        </xdr:from>
        <xdr:to>
          <xdr:col>0</xdr:col>
          <xdr:colOff>419100</xdr:colOff>
          <xdr:row>4</xdr:row>
          <xdr:rowOff>406400</xdr:rowOff>
        </xdr:to>
        <xdr:sp macro="" textlink="">
          <xdr:nvSpPr>
            <xdr:cNvPr id="9318" name="Button 102" hidden="1">
              <a:extLst>
                <a:ext uri="{63B3BB69-23CF-44E3-9099-C40C66FF867C}">
                  <a14:compatExt spid="_x0000_s9318"/>
                </a:ext>
                <a:ext uri="{FF2B5EF4-FFF2-40B4-BE49-F238E27FC236}">
                  <a16:creationId xmlns:a16="http://schemas.microsoft.com/office/drawing/2014/main" id="{00000000-0008-0000-0100-00006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25400</xdr:rowOff>
        </xdr:from>
        <xdr:to>
          <xdr:col>0</xdr:col>
          <xdr:colOff>419100</xdr:colOff>
          <xdr:row>5</xdr:row>
          <xdr:rowOff>406400</xdr:rowOff>
        </xdr:to>
        <xdr:sp macro="" textlink="">
          <xdr:nvSpPr>
            <xdr:cNvPr id="9319" name="Button 103" hidden="1">
              <a:extLst>
                <a:ext uri="{63B3BB69-23CF-44E3-9099-C40C66FF867C}">
                  <a14:compatExt spid="_x0000_s9319"/>
                </a:ext>
                <a:ext uri="{FF2B5EF4-FFF2-40B4-BE49-F238E27FC236}">
                  <a16:creationId xmlns:a16="http://schemas.microsoft.com/office/drawing/2014/main" id="{00000000-0008-0000-0100-00006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25400</xdr:rowOff>
        </xdr:from>
        <xdr:to>
          <xdr:col>0</xdr:col>
          <xdr:colOff>419100</xdr:colOff>
          <xdr:row>6</xdr:row>
          <xdr:rowOff>406400</xdr:rowOff>
        </xdr:to>
        <xdr:sp macro="" textlink="">
          <xdr:nvSpPr>
            <xdr:cNvPr id="9320" name="Button 104" hidden="1">
              <a:extLst>
                <a:ext uri="{63B3BB69-23CF-44E3-9099-C40C66FF867C}">
                  <a14:compatExt spid="_x0000_s9320"/>
                </a:ext>
                <a:ext uri="{FF2B5EF4-FFF2-40B4-BE49-F238E27FC236}">
                  <a16:creationId xmlns:a16="http://schemas.microsoft.com/office/drawing/2014/main" id="{00000000-0008-0000-0100-00006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25400</xdr:rowOff>
        </xdr:from>
        <xdr:to>
          <xdr:col>0</xdr:col>
          <xdr:colOff>419100</xdr:colOff>
          <xdr:row>7</xdr:row>
          <xdr:rowOff>406400</xdr:rowOff>
        </xdr:to>
        <xdr:sp macro="" textlink="">
          <xdr:nvSpPr>
            <xdr:cNvPr id="9321" name="Button 105" hidden="1">
              <a:extLst>
                <a:ext uri="{63B3BB69-23CF-44E3-9099-C40C66FF867C}">
                  <a14:compatExt spid="_x0000_s9321"/>
                </a:ext>
                <a:ext uri="{FF2B5EF4-FFF2-40B4-BE49-F238E27FC236}">
                  <a16:creationId xmlns:a16="http://schemas.microsoft.com/office/drawing/2014/main" id="{00000000-0008-0000-0100-00006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25400</xdr:rowOff>
        </xdr:from>
        <xdr:to>
          <xdr:col>0</xdr:col>
          <xdr:colOff>419100</xdr:colOff>
          <xdr:row>8</xdr:row>
          <xdr:rowOff>406400</xdr:rowOff>
        </xdr:to>
        <xdr:sp macro="" textlink="">
          <xdr:nvSpPr>
            <xdr:cNvPr id="9322" name="Button 106" hidden="1">
              <a:extLst>
                <a:ext uri="{63B3BB69-23CF-44E3-9099-C40C66FF867C}">
                  <a14:compatExt spid="_x0000_s9322"/>
                </a:ext>
                <a:ext uri="{FF2B5EF4-FFF2-40B4-BE49-F238E27FC236}">
                  <a16:creationId xmlns:a16="http://schemas.microsoft.com/office/drawing/2014/main" id="{00000000-0008-0000-0100-00006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</xdr:row>
          <xdr:rowOff>25400</xdr:rowOff>
        </xdr:from>
        <xdr:to>
          <xdr:col>0</xdr:col>
          <xdr:colOff>419100</xdr:colOff>
          <xdr:row>2</xdr:row>
          <xdr:rowOff>406400</xdr:rowOff>
        </xdr:to>
        <xdr:sp macro="" textlink="">
          <xdr:nvSpPr>
            <xdr:cNvPr id="9323" name="Button 107" hidden="1">
              <a:extLst>
                <a:ext uri="{63B3BB69-23CF-44E3-9099-C40C66FF867C}">
                  <a14:compatExt spid="_x0000_s9323"/>
                </a:ext>
                <a:ext uri="{FF2B5EF4-FFF2-40B4-BE49-F238E27FC236}">
                  <a16:creationId xmlns:a16="http://schemas.microsoft.com/office/drawing/2014/main" id="{00000000-0008-0000-0100-00006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</xdr:row>
          <xdr:rowOff>25400</xdr:rowOff>
        </xdr:from>
        <xdr:to>
          <xdr:col>3</xdr:col>
          <xdr:colOff>1054100</xdr:colOff>
          <xdr:row>1</xdr:row>
          <xdr:rowOff>393700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</xdr:row>
          <xdr:rowOff>25400</xdr:rowOff>
        </xdr:from>
        <xdr:to>
          <xdr:col>2</xdr:col>
          <xdr:colOff>1054100</xdr:colOff>
          <xdr:row>1</xdr:row>
          <xdr:rowOff>393700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2</xdr:row>
          <xdr:rowOff>25400</xdr:rowOff>
        </xdr:from>
        <xdr:to>
          <xdr:col>2</xdr:col>
          <xdr:colOff>1054100</xdr:colOff>
          <xdr:row>2</xdr:row>
          <xdr:rowOff>393700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3</xdr:row>
          <xdr:rowOff>25400</xdr:rowOff>
        </xdr:from>
        <xdr:to>
          <xdr:col>2</xdr:col>
          <xdr:colOff>1054100</xdr:colOff>
          <xdr:row>3</xdr:row>
          <xdr:rowOff>393700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4</xdr:row>
          <xdr:rowOff>25400</xdr:rowOff>
        </xdr:from>
        <xdr:to>
          <xdr:col>2</xdr:col>
          <xdr:colOff>1054100</xdr:colOff>
          <xdr:row>4</xdr:row>
          <xdr:rowOff>393700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5</xdr:row>
          <xdr:rowOff>25400</xdr:rowOff>
        </xdr:from>
        <xdr:to>
          <xdr:col>2</xdr:col>
          <xdr:colOff>1054100</xdr:colOff>
          <xdr:row>5</xdr:row>
          <xdr:rowOff>393700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6</xdr:row>
          <xdr:rowOff>25400</xdr:rowOff>
        </xdr:from>
        <xdr:to>
          <xdr:col>2</xdr:col>
          <xdr:colOff>1054100</xdr:colOff>
          <xdr:row>6</xdr:row>
          <xdr:rowOff>393700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7</xdr:row>
          <xdr:rowOff>25400</xdr:rowOff>
        </xdr:from>
        <xdr:to>
          <xdr:col>2</xdr:col>
          <xdr:colOff>1054100</xdr:colOff>
          <xdr:row>7</xdr:row>
          <xdr:rowOff>393700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8</xdr:row>
          <xdr:rowOff>25400</xdr:rowOff>
        </xdr:from>
        <xdr:to>
          <xdr:col>2</xdr:col>
          <xdr:colOff>1054100</xdr:colOff>
          <xdr:row>8</xdr:row>
          <xdr:rowOff>393700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2</xdr:row>
          <xdr:rowOff>25400</xdr:rowOff>
        </xdr:from>
        <xdr:to>
          <xdr:col>3</xdr:col>
          <xdr:colOff>1054100</xdr:colOff>
          <xdr:row>2</xdr:row>
          <xdr:rowOff>393700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3</xdr:row>
          <xdr:rowOff>25400</xdr:rowOff>
        </xdr:from>
        <xdr:to>
          <xdr:col>3</xdr:col>
          <xdr:colOff>1054100</xdr:colOff>
          <xdr:row>3</xdr:row>
          <xdr:rowOff>393700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4</xdr:row>
          <xdr:rowOff>25400</xdr:rowOff>
        </xdr:from>
        <xdr:to>
          <xdr:col>3</xdr:col>
          <xdr:colOff>1054100</xdr:colOff>
          <xdr:row>4</xdr:row>
          <xdr:rowOff>393700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25400</xdr:rowOff>
        </xdr:from>
        <xdr:to>
          <xdr:col>3</xdr:col>
          <xdr:colOff>1054100</xdr:colOff>
          <xdr:row>5</xdr:row>
          <xdr:rowOff>393700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</xdr:row>
          <xdr:rowOff>25400</xdr:rowOff>
        </xdr:from>
        <xdr:to>
          <xdr:col>3</xdr:col>
          <xdr:colOff>1054100</xdr:colOff>
          <xdr:row>6</xdr:row>
          <xdr:rowOff>393700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7</xdr:row>
          <xdr:rowOff>25400</xdr:rowOff>
        </xdr:from>
        <xdr:to>
          <xdr:col>3</xdr:col>
          <xdr:colOff>1054100</xdr:colOff>
          <xdr:row>7</xdr:row>
          <xdr:rowOff>393700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8</xdr:row>
          <xdr:rowOff>25400</xdr:rowOff>
        </xdr:from>
        <xdr:to>
          <xdr:col>3</xdr:col>
          <xdr:colOff>1054100</xdr:colOff>
          <xdr:row>8</xdr:row>
          <xdr:rowOff>393700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　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</xdr:row>
          <xdr:rowOff>25400</xdr:rowOff>
        </xdr:from>
        <xdr:to>
          <xdr:col>7</xdr:col>
          <xdr:colOff>482600</xdr:colOff>
          <xdr:row>1</xdr:row>
          <xdr:rowOff>393700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2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482600</xdr:colOff>
          <xdr:row>2</xdr:row>
          <xdr:rowOff>393700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482600</xdr:colOff>
          <xdr:row>2</xdr:row>
          <xdr:rowOff>393700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3</xdr:row>
          <xdr:rowOff>25400</xdr:rowOff>
        </xdr:from>
        <xdr:to>
          <xdr:col>7</xdr:col>
          <xdr:colOff>482600</xdr:colOff>
          <xdr:row>3</xdr:row>
          <xdr:rowOff>393700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4</xdr:row>
          <xdr:rowOff>25400</xdr:rowOff>
        </xdr:from>
        <xdr:to>
          <xdr:col>7</xdr:col>
          <xdr:colOff>482600</xdr:colOff>
          <xdr:row>4</xdr:row>
          <xdr:rowOff>393700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5</xdr:row>
          <xdr:rowOff>25400</xdr:rowOff>
        </xdr:from>
        <xdr:to>
          <xdr:col>7</xdr:col>
          <xdr:colOff>482600</xdr:colOff>
          <xdr:row>5</xdr:row>
          <xdr:rowOff>393700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6</xdr:row>
          <xdr:rowOff>25400</xdr:rowOff>
        </xdr:from>
        <xdr:to>
          <xdr:col>7</xdr:col>
          <xdr:colOff>482600</xdr:colOff>
          <xdr:row>6</xdr:row>
          <xdr:rowOff>393700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7</xdr:row>
          <xdr:rowOff>25400</xdr:rowOff>
        </xdr:from>
        <xdr:to>
          <xdr:col>7</xdr:col>
          <xdr:colOff>482600</xdr:colOff>
          <xdr:row>7</xdr:row>
          <xdr:rowOff>393700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8</xdr:row>
          <xdr:rowOff>25400</xdr:rowOff>
        </xdr:from>
        <xdr:to>
          <xdr:col>7</xdr:col>
          <xdr:colOff>482600</xdr:colOff>
          <xdr:row>8</xdr:row>
          <xdr:rowOff>393700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546100</xdr:colOff>
          <xdr:row>2</xdr:row>
          <xdr:rowOff>25400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ALL　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9</xdr:row>
          <xdr:rowOff>25400</xdr:rowOff>
        </xdr:from>
        <xdr:to>
          <xdr:col>2</xdr:col>
          <xdr:colOff>1054100</xdr:colOff>
          <xdr:row>9</xdr:row>
          <xdr:rowOff>393700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2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9</xdr:row>
          <xdr:rowOff>25400</xdr:rowOff>
        </xdr:from>
        <xdr:to>
          <xdr:col>3</xdr:col>
          <xdr:colOff>1054100</xdr:colOff>
          <xdr:row>9</xdr:row>
          <xdr:rowOff>393700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2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　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9</xdr:row>
          <xdr:rowOff>25400</xdr:rowOff>
        </xdr:from>
        <xdr:to>
          <xdr:col>7</xdr:col>
          <xdr:colOff>482600</xdr:colOff>
          <xdr:row>9</xdr:row>
          <xdr:rowOff>393700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2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10</xdr:row>
          <xdr:rowOff>25400</xdr:rowOff>
        </xdr:from>
        <xdr:to>
          <xdr:col>2</xdr:col>
          <xdr:colOff>1054100</xdr:colOff>
          <xdr:row>10</xdr:row>
          <xdr:rowOff>393700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2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10</xdr:row>
          <xdr:rowOff>25400</xdr:rowOff>
        </xdr:from>
        <xdr:to>
          <xdr:col>3</xdr:col>
          <xdr:colOff>1054100</xdr:colOff>
          <xdr:row>10</xdr:row>
          <xdr:rowOff>393700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2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　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10</xdr:row>
          <xdr:rowOff>25400</xdr:rowOff>
        </xdr:from>
        <xdr:to>
          <xdr:col>7</xdr:col>
          <xdr:colOff>482600</xdr:colOff>
          <xdr:row>10</xdr:row>
          <xdr:rowOff>393700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2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11</xdr:row>
          <xdr:rowOff>25400</xdr:rowOff>
        </xdr:from>
        <xdr:to>
          <xdr:col>2</xdr:col>
          <xdr:colOff>1054100</xdr:colOff>
          <xdr:row>11</xdr:row>
          <xdr:rowOff>393700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2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11</xdr:row>
          <xdr:rowOff>25400</xdr:rowOff>
        </xdr:from>
        <xdr:to>
          <xdr:col>3</xdr:col>
          <xdr:colOff>1054100</xdr:colOff>
          <xdr:row>11</xdr:row>
          <xdr:rowOff>393700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2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　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11</xdr:row>
          <xdr:rowOff>25400</xdr:rowOff>
        </xdr:from>
        <xdr:to>
          <xdr:col>7</xdr:col>
          <xdr:colOff>482600</xdr:colOff>
          <xdr:row>11</xdr:row>
          <xdr:rowOff>393700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2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</xdr:row>
          <xdr:rowOff>25400</xdr:rowOff>
        </xdr:from>
        <xdr:to>
          <xdr:col>3</xdr:col>
          <xdr:colOff>1054100</xdr:colOff>
          <xdr:row>1</xdr:row>
          <xdr:rowOff>393700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</xdr:row>
          <xdr:rowOff>25400</xdr:rowOff>
        </xdr:from>
        <xdr:to>
          <xdr:col>2</xdr:col>
          <xdr:colOff>1054100</xdr:colOff>
          <xdr:row>1</xdr:row>
          <xdr:rowOff>393700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2</xdr:row>
          <xdr:rowOff>25400</xdr:rowOff>
        </xdr:from>
        <xdr:to>
          <xdr:col>2</xdr:col>
          <xdr:colOff>1054100</xdr:colOff>
          <xdr:row>2</xdr:row>
          <xdr:rowOff>393700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3</xdr:row>
          <xdr:rowOff>25400</xdr:rowOff>
        </xdr:from>
        <xdr:to>
          <xdr:col>2</xdr:col>
          <xdr:colOff>1054100</xdr:colOff>
          <xdr:row>3</xdr:row>
          <xdr:rowOff>393700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4</xdr:row>
          <xdr:rowOff>25400</xdr:rowOff>
        </xdr:from>
        <xdr:to>
          <xdr:col>2</xdr:col>
          <xdr:colOff>1054100</xdr:colOff>
          <xdr:row>4</xdr:row>
          <xdr:rowOff>393700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5</xdr:row>
          <xdr:rowOff>25400</xdr:rowOff>
        </xdr:from>
        <xdr:to>
          <xdr:col>2</xdr:col>
          <xdr:colOff>1054100</xdr:colOff>
          <xdr:row>5</xdr:row>
          <xdr:rowOff>393700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6</xdr:row>
          <xdr:rowOff>25400</xdr:rowOff>
        </xdr:from>
        <xdr:to>
          <xdr:col>2</xdr:col>
          <xdr:colOff>1054100</xdr:colOff>
          <xdr:row>6</xdr:row>
          <xdr:rowOff>393700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7</xdr:row>
          <xdr:rowOff>25400</xdr:rowOff>
        </xdr:from>
        <xdr:to>
          <xdr:col>2</xdr:col>
          <xdr:colOff>1054100</xdr:colOff>
          <xdr:row>7</xdr:row>
          <xdr:rowOff>393700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8</xdr:row>
          <xdr:rowOff>25400</xdr:rowOff>
        </xdr:from>
        <xdr:to>
          <xdr:col>2</xdr:col>
          <xdr:colOff>1054100</xdr:colOff>
          <xdr:row>8</xdr:row>
          <xdr:rowOff>393700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2</xdr:row>
          <xdr:rowOff>25400</xdr:rowOff>
        </xdr:from>
        <xdr:to>
          <xdr:col>3</xdr:col>
          <xdr:colOff>1054100</xdr:colOff>
          <xdr:row>2</xdr:row>
          <xdr:rowOff>393700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3</xdr:row>
          <xdr:rowOff>25400</xdr:rowOff>
        </xdr:from>
        <xdr:to>
          <xdr:col>3</xdr:col>
          <xdr:colOff>1054100</xdr:colOff>
          <xdr:row>3</xdr:row>
          <xdr:rowOff>393700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4</xdr:row>
          <xdr:rowOff>25400</xdr:rowOff>
        </xdr:from>
        <xdr:to>
          <xdr:col>3</xdr:col>
          <xdr:colOff>1054100</xdr:colOff>
          <xdr:row>4</xdr:row>
          <xdr:rowOff>393700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25400</xdr:rowOff>
        </xdr:from>
        <xdr:to>
          <xdr:col>3</xdr:col>
          <xdr:colOff>1054100</xdr:colOff>
          <xdr:row>5</xdr:row>
          <xdr:rowOff>393700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</xdr:row>
          <xdr:rowOff>25400</xdr:rowOff>
        </xdr:from>
        <xdr:to>
          <xdr:col>3</xdr:col>
          <xdr:colOff>1054100</xdr:colOff>
          <xdr:row>6</xdr:row>
          <xdr:rowOff>393700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7</xdr:row>
          <xdr:rowOff>25400</xdr:rowOff>
        </xdr:from>
        <xdr:to>
          <xdr:col>3</xdr:col>
          <xdr:colOff>1054100</xdr:colOff>
          <xdr:row>7</xdr:row>
          <xdr:rowOff>393700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8</xdr:row>
          <xdr:rowOff>25400</xdr:rowOff>
        </xdr:from>
        <xdr:to>
          <xdr:col>3</xdr:col>
          <xdr:colOff>1054100</xdr:colOff>
          <xdr:row>8</xdr:row>
          <xdr:rowOff>393700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</xdr:row>
          <xdr:rowOff>25400</xdr:rowOff>
        </xdr:from>
        <xdr:to>
          <xdr:col>7</xdr:col>
          <xdr:colOff>482600</xdr:colOff>
          <xdr:row>1</xdr:row>
          <xdr:rowOff>393700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482600</xdr:colOff>
          <xdr:row>2</xdr:row>
          <xdr:rowOff>393700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482600</xdr:colOff>
          <xdr:row>2</xdr:row>
          <xdr:rowOff>393700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3</xdr:row>
          <xdr:rowOff>25400</xdr:rowOff>
        </xdr:from>
        <xdr:to>
          <xdr:col>7</xdr:col>
          <xdr:colOff>482600</xdr:colOff>
          <xdr:row>3</xdr:row>
          <xdr:rowOff>393700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4</xdr:row>
          <xdr:rowOff>25400</xdr:rowOff>
        </xdr:from>
        <xdr:to>
          <xdr:col>7</xdr:col>
          <xdr:colOff>482600</xdr:colOff>
          <xdr:row>4</xdr:row>
          <xdr:rowOff>393700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5</xdr:row>
          <xdr:rowOff>25400</xdr:rowOff>
        </xdr:from>
        <xdr:to>
          <xdr:col>7</xdr:col>
          <xdr:colOff>482600</xdr:colOff>
          <xdr:row>5</xdr:row>
          <xdr:rowOff>393700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6</xdr:row>
          <xdr:rowOff>25400</xdr:rowOff>
        </xdr:from>
        <xdr:to>
          <xdr:col>7</xdr:col>
          <xdr:colOff>482600</xdr:colOff>
          <xdr:row>6</xdr:row>
          <xdr:rowOff>393700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7</xdr:row>
          <xdr:rowOff>25400</xdr:rowOff>
        </xdr:from>
        <xdr:to>
          <xdr:col>7</xdr:col>
          <xdr:colOff>482600</xdr:colOff>
          <xdr:row>7</xdr:row>
          <xdr:rowOff>393700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8</xdr:row>
          <xdr:rowOff>25400</xdr:rowOff>
        </xdr:from>
        <xdr:to>
          <xdr:col>7</xdr:col>
          <xdr:colOff>482600</xdr:colOff>
          <xdr:row>8</xdr:row>
          <xdr:rowOff>393700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</xdr:row>
          <xdr:rowOff>25400</xdr:rowOff>
        </xdr:from>
        <xdr:to>
          <xdr:col>14</xdr:col>
          <xdr:colOff>495300</xdr:colOff>
          <xdr:row>1</xdr:row>
          <xdr:rowOff>393700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2</xdr:row>
          <xdr:rowOff>25400</xdr:rowOff>
        </xdr:from>
        <xdr:to>
          <xdr:col>14</xdr:col>
          <xdr:colOff>495300</xdr:colOff>
          <xdr:row>2</xdr:row>
          <xdr:rowOff>393700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3</xdr:row>
          <xdr:rowOff>25400</xdr:rowOff>
        </xdr:from>
        <xdr:to>
          <xdr:col>14</xdr:col>
          <xdr:colOff>495300</xdr:colOff>
          <xdr:row>3</xdr:row>
          <xdr:rowOff>393700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4</xdr:row>
          <xdr:rowOff>25400</xdr:rowOff>
        </xdr:from>
        <xdr:to>
          <xdr:col>14</xdr:col>
          <xdr:colOff>495300</xdr:colOff>
          <xdr:row>4</xdr:row>
          <xdr:rowOff>393700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5</xdr:row>
          <xdr:rowOff>25400</xdr:rowOff>
        </xdr:from>
        <xdr:to>
          <xdr:col>14</xdr:col>
          <xdr:colOff>495300</xdr:colOff>
          <xdr:row>5</xdr:row>
          <xdr:rowOff>393700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6</xdr:row>
          <xdr:rowOff>25400</xdr:rowOff>
        </xdr:from>
        <xdr:to>
          <xdr:col>14</xdr:col>
          <xdr:colOff>495300</xdr:colOff>
          <xdr:row>6</xdr:row>
          <xdr:rowOff>393700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7</xdr:row>
          <xdr:rowOff>25400</xdr:rowOff>
        </xdr:from>
        <xdr:to>
          <xdr:col>14</xdr:col>
          <xdr:colOff>495300</xdr:colOff>
          <xdr:row>7</xdr:row>
          <xdr:rowOff>393700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8</xdr:row>
          <xdr:rowOff>25400</xdr:rowOff>
        </xdr:from>
        <xdr:to>
          <xdr:col>14</xdr:col>
          <xdr:colOff>495300</xdr:colOff>
          <xdr:row>8</xdr:row>
          <xdr:rowOff>393700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546100</xdr:colOff>
          <xdr:row>1</xdr:row>
          <xdr:rowOff>0</xdr:rowOff>
        </xdr:from>
        <xdr:to>
          <xdr:col>16</xdr:col>
          <xdr:colOff>507999</xdr:colOff>
          <xdr:row>2</xdr:row>
          <xdr:rowOff>25400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ALL　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</xdr:row>
          <xdr:rowOff>25400</xdr:rowOff>
        </xdr:from>
        <xdr:to>
          <xdr:col>12</xdr:col>
          <xdr:colOff>1</xdr:colOff>
          <xdr:row>1</xdr:row>
          <xdr:rowOff>381000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2</xdr:row>
          <xdr:rowOff>25400</xdr:rowOff>
        </xdr:from>
        <xdr:to>
          <xdr:col>12</xdr:col>
          <xdr:colOff>1</xdr:colOff>
          <xdr:row>2</xdr:row>
          <xdr:rowOff>381000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3</xdr:row>
          <xdr:rowOff>25400</xdr:rowOff>
        </xdr:from>
        <xdr:to>
          <xdr:col>12</xdr:col>
          <xdr:colOff>1</xdr:colOff>
          <xdr:row>3</xdr:row>
          <xdr:rowOff>381000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4</xdr:row>
          <xdr:rowOff>25400</xdr:rowOff>
        </xdr:from>
        <xdr:to>
          <xdr:col>12</xdr:col>
          <xdr:colOff>1</xdr:colOff>
          <xdr:row>4</xdr:row>
          <xdr:rowOff>381000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5</xdr:row>
          <xdr:rowOff>25400</xdr:rowOff>
        </xdr:from>
        <xdr:to>
          <xdr:col>12</xdr:col>
          <xdr:colOff>1</xdr:colOff>
          <xdr:row>5</xdr:row>
          <xdr:rowOff>381000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6</xdr:row>
          <xdr:rowOff>25400</xdr:rowOff>
        </xdr:from>
        <xdr:to>
          <xdr:col>12</xdr:col>
          <xdr:colOff>1</xdr:colOff>
          <xdr:row>6</xdr:row>
          <xdr:rowOff>381000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7</xdr:row>
          <xdr:rowOff>25400</xdr:rowOff>
        </xdr:from>
        <xdr:to>
          <xdr:col>12</xdr:col>
          <xdr:colOff>1</xdr:colOff>
          <xdr:row>7</xdr:row>
          <xdr:rowOff>381000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8</xdr:row>
          <xdr:rowOff>25400</xdr:rowOff>
        </xdr:from>
        <xdr:to>
          <xdr:col>12</xdr:col>
          <xdr:colOff>1</xdr:colOff>
          <xdr:row>8</xdr:row>
          <xdr:rowOff>381000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5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5</xdr:row>
          <xdr:rowOff>25400</xdr:rowOff>
        </xdr:from>
        <xdr:to>
          <xdr:col>2</xdr:col>
          <xdr:colOff>1054100</xdr:colOff>
          <xdr:row>5</xdr:row>
          <xdr:rowOff>393700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5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25400</xdr:rowOff>
        </xdr:from>
        <xdr:to>
          <xdr:col>3</xdr:col>
          <xdr:colOff>1054100</xdr:colOff>
          <xdr:row>5</xdr:row>
          <xdr:rowOff>393700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482600</xdr:colOff>
          <xdr:row>2</xdr:row>
          <xdr:rowOff>393700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9</xdr:row>
          <xdr:rowOff>25400</xdr:rowOff>
        </xdr:from>
        <xdr:to>
          <xdr:col>3</xdr:col>
          <xdr:colOff>1054100</xdr:colOff>
          <xdr:row>9</xdr:row>
          <xdr:rowOff>393700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9</xdr:row>
          <xdr:rowOff>25400</xdr:rowOff>
        </xdr:from>
        <xdr:to>
          <xdr:col>2</xdr:col>
          <xdr:colOff>1054100</xdr:colOff>
          <xdr:row>9</xdr:row>
          <xdr:rowOff>393700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9</xdr:row>
          <xdr:rowOff>25400</xdr:rowOff>
        </xdr:from>
        <xdr:to>
          <xdr:col>7</xdr:col>
          <xdr:colOff>482600</xdr:colOff>
          <xdr:row>9</xdr:row>
          <xdr:rowOff>393700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5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9</xdr:row>
          <xdr:rowOff>25400</xdr:rowOff>
        </xdr:from>
        <xdr:to>
          <xdr:col>14</xdr:col>
          <xdr:colOff>495300</xdr:colOff>
          <xdr:row>9</xdr:row>
          <xdr:rowOff>393700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9</xdr:row>
          <xdr:rowOff>25400</xdr:rowOff>
        </xdr:from>
        <xdr:to>
          <xdr:col>12</xdr:col>
          <xdr:colOff>1</xdr:colOff>
          <xdr:row>9</xdr:row>
          <xdr:rowOff>381000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10</xdr:row>
          <xdr:rowOff>25400</xdr:rowOff>
        </xdr:from>
        <xdr:to>
          <xdr:col>3</xdr:col>
          <xdr:colOff>1054100</xdr:colOff>
          <xdr:row>10</xdr:row>
          <xdr:rowOff>393700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10</xdr:row>
          <xdr:rowOff>25400</xdr:rowOff>
        </xdr:from>
        <xdr:to>
          <xdr:col>2</xdr:col>
          <xdr:colOff>1054100</xdr:colOff>
          <xdr:row>10</xdr:row>
          <xdr:rowOff>393700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10</xdr:row>
          <xdr:rowOff>25400</xdr:rowOff>
        </xdr:from>
        <xdr:to>
          <xdr:col>7</xdr:col>
          <xdr:colOff>482600</xdr:colOff>
          <xdr:row>10</xdr:row>
          <xdr:rowOff>393700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10</xdr:row>
          <xdr:rowOff>25400</xdr:rowOff>
        </xdr:from>
        <xdr:to>
          <xdr:col>14</xdr:col>
          <xdr:colOff>495300</xdr:colOff>
          <xdr:row>10</xdr:row>
          <xdr:rowOff>393700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10</xdr:row>
          <xdr:rowOff>25400</xdr:rowOff>
        </xdr:from>
        <xdr:to>
          <xdr:col>12</xdr:col>
          <xdr:colOff>1</xdr:colOff>
          <xdr:row>10</xdr:row>
          <xdr:rowOff>381000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11</xdr:row>
          <xdr:rowOff>25400</xdr:rowOff>
        </xdr:from>
        <xdr:to>
          <xdr:col>3</xdr:col>
          <xdr:colOff>1054100</xdr:colOff>
          <xdr:row>11</xdr:row>
          <xdr:rowOff>393700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11</xdr:row>
          <xdr:rowOff>25400</xdr:rowOff>
        </xdr:from>
        <xdr:to>
          <xdr:col>2</xdr:col>
          <xdr:colOff>1054100</xdr:colOff>
          <xdr:row>11</xdr:row>
          <xdr:rowOff>393700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11</xdr:row>
          <xdr:rowOff>25400</xdr:rowOff>
        </xdr:from>
        <xdr:to>
          <xdr:col>7</xdr:col>
          <xdr:colOff>482600</xdr:colOff>
          <xdr:row>11</xdr:row>
          <xdr:rowOff>393700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11</xdr:row>
          <xdr:rowOff>25400</xdr:rowOff>
        </xdr:from>
        <xdr:to>
          <xdr:col>14</xdr:col>
          <xdr:colOff>495300</xdr:colOff>
          <xdr:row>11</xdr:row>
          <xdr:rowOff>393700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11</xdr:row>
          <xdr:rowOff>25400</xdr:rowOff>
        </xdr:from>
        <xdr:to>
          <xdr:col>12</xdr:col>
          <xdr:colOff>1</xdr:colOff>
          <xdr:row>11</xdr:row>
          <xdr:rowOff>381000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12</xdr:row>
          <xdr:rowOff>25400</xdr:rowOff>
        </xdr:from>
        <xdr:to>
          <xdr:col>3</xdr:col>
          <xdr:colOff>1054100</xdr:colOff>
          <xdr:row>12</xdr:row>
          <xdr:rowOff>393700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12</xdr:row>
          <xdr:rowOff>25400</xdr:rowOff>
        </xdr:from>
        <xdr:to>
          <xdr:col>2</xdr:col>
          <xdr:colOff>1054100</xdr:colOff>
          <xdr:row>12</xdr:row>
          <xdr:rowOff>393700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12</xdr:row>
          <xdr:rowOff>25400</xdr:rowOff>
        </xdr:from>
        <xdr:to>
          <xdr:col>7</xdr:col>
          <xdr:colOff>482600</xdr:colOff>
          <xdr:row>12</xdr:row>
          <xdr:rowOff>393700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12</xdr:row>
          <xdr:rowOff>25400</xdr:rowOff>
        </xdr:from>
        <xdr:to>
          <xdr:col>14</xdr:col>
          <xdr:colOff>495300</xdr:colOff>
          <xdr:row>12</xdr:row>
          <xdr:rowOff>393700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12</xdr:row>
          <xdr:rowOff>25400</xdr:rowOff>
        </xdr:from>
        <xdr:to>
          <xdr:col>12</xdr:col>
          <xdr:colOff>1</xdr:colOff>
          <xdr:row>12</xdr:row>
          <xdr:rowOff>381000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13</xdr:row>
          <xdr:rowOff>25400</xdr:rowOff>
        </xdr:from>
        <xdr:to>
          <xdr:col>3</xdr:col>
          <xdr:colOff>1054100</xdr:colOff>
          <xdr:row>13</xdr:row>
          <xdr:rowOff>393700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13</xdr:row>
          <xdr:rowOff>25400</xdr:rowOff>
        </xdr:from>
        <xdr:to>
          <xdr:col>2</xdr:col>
          <xdr:colOff>1054100</xdr:colOff>
          <xdr:row>13</xdr:row>
          <xdr:rowOff>393700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13</xdr:row>
          <xdr:rowOff>25400</xdr:rowOff>
        </xdr:from>
        <xdr:to>
          <xdr:col>7</xdr:col>
          <xdr:colOff>482600</xdr:colOff>
          <xdr:row>13</xdr:row>
          <xdr:rowOff>393700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13</xdr:row>
          <xdr:rowOff>25400</xdr:rowOff>
        </xdr:from>
        <xdr:to>
          <xdr:col>14</xdr:col>
          <xdr:colOff>495300</xdr:colOff>
          <xdr:row>13</xdr:row>
          <xdr:rowOff>393700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13</xdr:row>
          <xdr:rowOff>25400</xdr:rowOff>
        </xdr:from>
        <xdr:to>
          <xdr:col>12</xdr:col>
          <xdr:colOff>1</xdr:colOff>
          <xdr:row>13</xdr:row>
          <xdr:rowOff>381000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14</xdr:row>
          <xdr:rowOff>25400</xdr:rowOff>
        </xdr:from>
        <xdr:to>
          <xdr:col>3</xdr:col>
          <xdr:colOff>1054100</xdr:colOff>
          <xdr:row>14</xdr:row>
          <xdr:rowOff>393700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14</xdr:row>
          <xdr:rowOff>25400</xdr:rowOff>
        </xdr:from>
        <xdr:to>
          <xdr:col>2</xdr:col>
          <xdr:colOff>1054100</xdr:colOff>
          <xdr:row>14</xdr:row>
          <xdr:rowOff>393700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5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14</xdr:row>
          <xdr:rowOff>25400</xdr:rowOff>
        </xdr:from>
        <xdr:to>
          <xdr:col>7</xdr:col>
          <xdr:colOff>482600</xdr:colOff>
          <xdr:row>14</xdr:row>
          <xdr:rowOff>393700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14</xdr:row>
          <xdr:rowOff>25400</xdr:rowOff>
        </xdr:from>
        <xdr:to>
          <xdr:col>14</xdr:col>
          <xdr:colOff>495300</xdr:colOff>
          <xdr:row>14</xdr:row>
          <xdr:rowOff>393700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14</xdr:row>
          <xdr:rowOff>25400</xdr:rowOff>
        </xdr:from>
        <xdr:to>
          <xdr:col>12</xdr:col>
          <xdr:colOff>1</xdr:colOff>
          <xdr:row>14</xdr:row>
          <xdr:rowOff>381000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15</xdr:row>
          <xdr:rowOff>25400</xdr:rowOff>
        </xdr:from>
        <xdr:to>
          <xdr:col>3</xdr:col>
          <xdr:colOff>1054100</xdr:colOff>
          <xdr:row>15</xdr:row>
          <xdr:rowOff>393700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5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15</xdr:row>
          <xdr:rowOff>25400</xdr:rowOff>
        </xdr:from>
        <xdr:to>
          <xdr:col>2</xdr:col>
          <xdr:colOff>1054100</xdr:colOff>
          <xdr:row>15</xdr:row>
          <xdr:rowOff>393700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15</xdr:row>
          <xdr:rowOff>25400</xdr:rowOff>
        </xdr:from>
        <xdr:to>
          <xdr:col>7</xdr:col>
          <xdr:colOff>482600</xdr:colOff>
          <xdr:row>15</xdr:row>
          <xdr:rowOff>393700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15</xdr:row>
          <xdr:rowOff>25400</xdr:rowOff>
        </xdr:from>
        <xdr:to>
          <xdr:col>14</xdr:col>
          <xdr:colOff>495300</xdr:colOff>
          <xdr:row>15</xdr:row>
          <xdr:rowOff>393700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15</xdr:row>
          <xdr:rowOff>25400</xdr:rowOff>
        </xdr:from>
        <xdr:to>
          <xdr:col>12</xdr:col>
          <xdr:colOff>1</xdr:colOff>
          <xdr:row>15</xdr:row>
          <xdr:rowOff>381000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16</xdr:row>
          <xdr:rowOff>25400</xdr:rowOff>
        </xdr:from>
        <xdr:to>
          <xdr:col>3</xdr:col>
          <xdr:colOff>1054100</xdr:colOff>
          <xdr:row>16</xdr:row>
          <xdr:rowOff>393700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16</xdr:row>
          <xdr:rowOff>25400</xdr:rowOff>
        </xdr:from>
        <xdr:to>
          <xdr:col>2</xdr:col>
          <xdr:colOff>1054100</xdr:colOff>
          <xdr:row>16</xdr:row>
          <xdr:rowOff>393700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16</xdr:row>
          <xdr:rowOff>25400</xdr:rowOff>
        </xdr:from>
        <xdr:to>
          <xdr:col>7</xdr:col>
          <xdr:colOff>482600</xdr:colOff>
          <xdr:row>16</xdr:row>
          <xdr:rowOff>393700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5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16</xdr:row>
          <xdr:rowOff>25400</xdr:rowOff>
        </xdr:from>
        <xdr:to>
          <xdr:col>14</xdr:col>
          <xdr:colOff>495300</xdr:colOff>
          <xdr:row>16</xdr:row>
          <xdr:rowOff>393700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5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16</xdr:row>
          <xdr:rowOff>25400</xdr:rowOff>
        </xdr:from>
        <xdr:to>
          <xdr:col>12</xdr:col>
          <xdr:colOff>1</xdr:colOff>
          <xdr:row>16</xdr:row>
          <xdr:rowOff>381000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102859</xdr:colOff>
          <xdr:row>1</xdr:row>
          <xdr:rowOff>57207</xdr:rowOff>
        </xdr:from>
        <xdr:to>
          <xdr:col>0</xdr:col>
          <xdr:colOff>589235</xdr:colOff>
          <xdr:row>1</xdr:row>
          <xdr:rowOff>383860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C52670F4-997B-2335-310F-0754D52A2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63500</xdr:rowOff>
        </xdr:from>
        <xdr:to>
          <xdr:col>0</xdr:col>
          <xdr:colOff>584200</xdr:colOff>
          <xdr:row>2</xdr:row>
          <xdr:rowOff>381000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453661E2-2BDF-2148-385B-98F919E64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63500</xdr:rowOff>
        </xdr:from>
        <xdr:to>
          <xdr:col>0</xdr:col>
          <xdr:colOff>584200</xdr:colOff>
          <xdr:row>3</xdr:row>
          <xdr:rowOff>381000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D4CA585C-87C7-23AC-4057-3A240BBB5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63500</xdr:rowOff>
        </xdr:from>
        <xdr:to>
          <xdr:col>0</xdr:col>
          <xdr:colOff>584200</xdr:colOff>
          <xdr:row>4</xdr:row>
          <xdr:rowOff>381000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C6AB340A-952C-234C-835C-CF92C5371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5</xdr:row>
          <xdr:rowOff>63500</xdr:rowOff>
        </xdr:from>
        <xdr:to>
          <xdr:col>0</xdr:col>
          <xdr:colOff>584200</xdr:colOff>
          <xdr:row>5</xdr:row>
          <xdr:rowOff>381000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208DD11F-7295-A995-B07E-70AE392B3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6</xdr:row>
          <xdr:rowOff>63500</xdr:rowOff>
        </xdr:from>
        <xdr:to>
          <xdr:col>0</xdr:col>
          <xdr:colOff>584200</xdr:colOff>
          <xdr:row>6</xdr:row>
          <xdr:rowOff>381000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A56F74BC-BF8F-CA4C-F551-AFEA65E34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7</xdr:row>
          <xdr:rowOff>63500</xdr:rowOff>
        </xdr:from>
        <xdr:to>
          <xdr:col>0</xdr:col>
          <xdr:colOff>584200</xdr:colOff>
          <xdr:row>7</xdr:row>
          <xdr:rowOff>381000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438FBA8B-CFF5-ABF0-D5E0-753B471A9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9</xdr:row>
          <xdr:rowOff>63500</xdr:rowOff>
        </xdr:from>
        <xdr:to>
          <xdr:col>0</xdr:col>
          <xdr:colOff>584200</xdr:colOff>
          <xdr:row>9</xdr:row>
          <xdr:rowOff>381000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90A9D50D-B7A0-619D-6CF7-DDA567078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8</xdr:row>
          <xdr:rowOff>63500</xdr:rowOff>
        </xdr:from>
        <xdr:to>
          <xdr:col>0</xdr:col>
          <xdr:colOff>584200</xdr:colOff>
          <xdr:row>8</xdr:row>
          <xdr:rowOff>381000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4765553D-BF81-F97E-4B7C-237FADE43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10</xdr:row>
          <xdr:rowOff>63500</xdr:rowOff>
        </xdr:from>
        <xdr:to>
          <xdr:col>0</xdr:col>
          <xdr:colOff>584200</xdr:colOff>
          <xdr:row>10</xdr:row>
          <xdr:rowOff>381000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B1D545F5-0406-B6CD-4159-49CE639E0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11</xdr:row>
          <xdr:rowOff>63500</xdr:rowOff>
        </xdr:from>
        <xdr:to>
          <xdr:col>0</xdr:col>
          <xdr:colOff>584200</xdr:colOff>
          <xdr:row>11</xdr:row>
          <xdr:rowOff>381000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E7A2035-9DDA-73FF-1B8B-B4E4436EF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12</xdr:row>
          <xdr:rowOff>63500</xdr:rowOff>
        </xdr:from>
        <xdr:to>
          <xdr:col>0</xdr:col>
          <xdr:colOff>584200</xdr:colOff>
          <xdr:row>12</xdr:row>
          <xdr:rowOff>381000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7CB554C7-D21E-9C97-2EDC-A5011A0E1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13</xdr:row>
          <xdr:rowOff>63500</xdr:rowOff>
        </xdr:from>
        <xdr:to>
          <xdr:col>0</xdr:col>
          <xdr:colOff>584200</xdr:colOff>
          <xdr:row>13</xdr:row>
          <xdr:rowOff>381000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533D032B-5FE7-4BA6-DE98-920663F89E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14</xdr:row>
          <xdr:rowOff>63500</xdr:rowOff>
        </xdr:from>
        <xdr:to>
          <xdr:col>0</xdr:col>
          <xdr:colOff>584200</xdr:colOff>
          <xdr:row>14</xdr:row>
          <xdr:rowOff>381000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3388D68-00A9-127D-2CD8-EBAE55B90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15</xdr:row>
          <xdr:rowOff>63500</xdr:rowOff>
        </xdr:from>
        <xdr:to>
          <xdr:col>0</xdr:col>
          <xdr:colOff>584200</xdr:colOff>
          <xdr:row>15</xdr:row>
          <xdr:rowOff>381000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DD85AF44-451E-3ABF-D74A-EB6115B00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16</xdr:row>
          <xdr:rowOff>63500</xdr:rowOff>
        </xdr:from>
        <xdr:to>
          <xdr:col>0</xdr:col>
          <xdr:colOff>584200</xdr:colOff>
          <xdr:row>16</xdr:row>
          <xdr:rowOff>381000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D2379927-624F-96F5-AF55-78DB71B8E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.xml"/><Relationship Id="rId18" Type="http://schemas.openxmlformats.org/officeDocument/2006/relationships/ctrlProp" Target="../ctrlProps/ctrlProp56.xml"/><Relationship Id="rId26" Type="http://schemas.openxmlformats.org/officeDocument/2006/relationships/ctrlProp" Target="../ctrlProps/ctrlProp64.xml"/><Relationship Id="rId39" Type="http://schemas.openxmlformats.org/officeDocument/2006/relationships/ctrlProp" Target="../ctrlProps/ctrlProp77.xml"/><Relationship Id="rId21" Type="http://schemas.openxmlformats.org/officeDocument/2006/relationships/ctrlProp" Target="../ctrlProps/ctrlProp59.xml"/><Relationship Id="rId34" Type="http://schemas.openxmlformats.org/officeDocument/2006/relationships/ctrlProp" Target="../ctrlProps/ctrlProp72.xml"/><Relationship Id="rId42" Type="http://schemas.openxmlformats.org/officeDocument/2006/relationships/ctrlProp" Target="../ctrlProps/ctrlProp80.xml"/><Relationship Id="rId47" Type="http://schemas.openxmlformats.org/officeDocument/2006/relationships/ctrlProp" Target="../ctrlProps/ctrlProp85.xml"/><Relationship Id="rId50" Type="http://schemas.openxmlformats.org/officeDocument/2006/relationships/ctrlProp" Target="../ctrlProps/ctrlProp88.x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4.xml"/><Relationship Id="rId29" Type="http://schemas.openxmlformats.org/officeDocument/2006/relationships/ctrlProp" Target="../ctrlProps/ctrlProp67.xml"/><Relationship Id="rId11" Type="http://schemas.openxmlformats.org/officeDocument/2006/relationships/ctrlProp" Target="../ctrlProps/ctrlProp49.xml"/><Relationship Id="rId24" Type="http://schemas.openxmlformats.org/officeDocument/2006/relationships/ctrlProp" Target="../ctrlProps/ctrlProp62.xml"/><Relationship Id="rId32" Type="http://schemas.openxmlformats.org/officeDocument/2006/relationships/ctrlProp" Target="../ctrlProps/ctrlProp70.xml"/><Relationship Id="rId37" Type="http://schemas.openxmlformats.org/officeDocument/2006/relationships/ctrlProp" Target="../ctrlProps/ctrlProp75.xml"/><Relationship Id="rId40" Type="http://schemas.openxmlformats.org/officeDocument/2006/relationships/ctrlProp" Target="../ctrlProps/ctrlProp78.xml"/><Relationship Id="rId45" Type="http://schemas.openxmlformats.org/officeDocument/2006/relationships/ctrlProp" Target="../ctrlProps/ctrlProp83.xml"/><Relationship Id="rId53" Type="http://schemas.openxmlformats.org/officeDocument/2006/relationships/ctrlProp" Target="../ctrlProps/ctrlProp91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19" Type="http://schemas.openxmlformats.org/officeDocument/2006/relationships/ctrlProp" Target="../ctrlProps/ctrlProp57.xml"/><Relationship Id="rId31" Type="http://schemas.openxmlformats.org/officeDocument/2006/relationships/ctrlProp" Target="../ctrlProps/ctrlProp69.xml"/><Relationship Id="rId44" Type="http://schemas.openxmlformats.org/officeDocument/2006/relationships/ctrlProp" Target="../ctrlProps/ctrlProp82.xml"/><Relationship Id="rId52" Type="http://schemas.openxmlformats.org/officeDocument/2006/relationships/ctrlProp" Target="../ctrlProps/ctrlProp90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Relationship Id="rId14" Type="http://schemas.openxmlformats.org/officeDocument/2006/relationships/ctrlProp" Target="../ctrlProps/ctrlProp52.xml"/><Relationship Id="rId22" Type="http://schemas.openxmlformats.org/officeDocument/2006/relationships/ctrlProp" Target="../ctrlProps/ctrlProp60.xml"/><Relationship Id="rId27" Type="http://schemas.openxmlformats.org/officeDocument/2006/relationships/ctrlProp" Target="../ctrlProps/ctrlProp65.xml"/><Relationship Id="rId30" Type="http://schemas.openxmlformats.org/officeDocument/2006/relationships/ctrlProp" Target="../ctrlProps/ctrlProp68.xml"/><Relationship Id="rId35" Type="http://schemas.openxmlformats.org/officeDocument/2006/relationships/ctrlProp" Target="../ctrlProps/ctrlProp73.xml"/><Relationship Id="rId43" Type="http://schemas.openxmlformats.org/officeDocument/2006/relationships/ctrlProp" Target="../ctrlProps/ctrlProp81.xml"/><Relationship Id="rId48" Type="http://schemas.openxmlformats.org/officeDocument/2006/relationships/ctrlProp" Target="../ctrlProps/ctrlProp86.xml"/><Relationship Id="rId8" Type="http://schemas.openxmlformats.org/officeDocument/2006/relationships/ctrlProp" Target="../ctrlProps/ctrlProp46.xml"/><Relationship Id="rId51" Type="http://schemas.openxmlformats.org/officeDocument/2006/relationships/ctrlProp" Target="../ctrlProps/ctrlProp8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0.xml"/><Relationship Id="rId17" Type="http://schemas.openxmlformats.org/officeDocument/2006/relationships/ctrlProp" Target="../ctrlProps/ctrlProp55.xml"/><Relationship Id="rId25" Type="http://schemas.openxmlformats.org/officeDocument/2006/relationships/ctrlProp" Target="../ctrlProps/ctrlProp63.xml"/><Relationship Id="rId33" Type="http://schemas.openxmlformats.org/officeDocument/2006/relationships/ctrlProp" Target="../ctrlProps/ctrlProp71.xml"/><Relationship Id="rId38" Type="http://schemas.openxmlformats.org/officeDocument/2006/relationships/ctrlProp" Target="../ctrlProps/ctrlProp76.xml"/><Relationship Id="rId46" Type="http://schemas.openxmlformats.org/officeDocument/2006/relationships/ctrlProp" Target="../ctrlProps/ctrlProp84.xml"/><Relationship Id="rId20" Type="http://schemas.openxmlformats.org/officeDocument/2006/relationships/ctrlProp" Target="../ctrlProps/ctrlProp58.xml"/><Relationship Id="rId41" Type="http://schemas.openxmlformats.org/officeDocument/2006/relationships/ctrlProp" Target="../ctrlProps/ctrlProp7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5" Type="http://schemas.openxmlformats.org/officeDocument/2006/relationships/ctrlProp" Target="../ctrlProps/ctrlProp53.xml"/><Relationship Id="rId23" Type="http://schemas.openxmlformats.org/officeDocument/2006/relationships/ctrlProp" Target="../ctrlProps/ctrlProp61.xml"/><Relationship Id="rId28" Type="http://schemas.openxmlformats.org/officeDocument/2006/relationships/ctrlProp" Target="../ctrlProps/ctrlProp66.xml"/><Relationship Id="rId36" Type="http://schemas.openxmlformats.org/officeDocument/2006/relationships/ctrlProp" Target="../ctrlProps/ctrlProp74.xml"/><Relationship Id="rId49" Type="http://schemas.openxmlformats.org/officeDocument/2006/relationships/ctrlProp" Target="../ctrlProps/ctrlProp87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26" Type="http://schemas.openxmlformats.org/officeDocument/2006/relationships/ctrlProp" Target="../ctrlProps/ctrlProp114.xml"/><Relationship Id="rId21" Type="http://schemas.openxmlformats.org/officeDocument/2006/relationships/ctrlProp" Target="../ctrlProps/ctrlProp109.xml"/><Relationship Id="rId34" Type="http://schemas.openxmlformats.org/officeDocument/2006/relationships/ctrlProp" Target="../ctrlProps/ctrlProp122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5" Type="http://schemas.openxmlformats.org/officeDocument/2006/relationships/ctrlProp" Target="../ctrlProps/ctrlProp113.xml"/><Relationship Id="rId33" Type="http://schemas.openxmlformats.org/officeDocument/2006/relationships/ctrlProp" Target="../ctrlProps/ctrlProp121.xml"/><Relationship Id="rId38" Type="http://schemas.openxmlformats.org/officeDocument/2006/relationships/ctrlProp" Target="../ctrlProps/ctrlProp12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04.xml"/><Relationship Id="rId20" Type="http://schemas.openxmlformats.org/officeDocument/2006/relationships/ctrlProp" Target="../ctrlProps/ctrlProp108.xml"/><Relationship Id="rId29" Type="http://schemas.openxmlformats.org/officeDocument/2006/relationships/ctrlProp" Target="../ctrlProps/ctrlProp1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24" Type="http://schemas.openxmlformats.org/officeDocument/2006/relationships/ctrlProp" Target="../ctrlProps/ctrlProp112.xml"/><Relationship Id="rId32" Type="http://schemas.openxmlformats.org/officeDocument/2006/relationships/ctrlProp" Target="../ctrlProps/ctrlProp120.xml"/><Relationship Id="rId37" Type="http://schemas.openxmlformats.org/officeDocument/2006/relationships/ctrlProp" Target="../ctrlProps/ctrlProp125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23" Type="http://schemas.openxmlformats.org/officeDocument/2006/relationships/ctrlProp" Target="../ctrlProps/ctrlProp111.xml"/><Relationship Id="rId28" Type="http://schemas.openxmlformats.org/officeDocument/2006/relationships/ctrlProp" Target="../ctrlProps/ctrlProp116.xml"/><Relationship Id="rId36" Type="http://schemas.openxmlformats.org/officeDocument/2006/relationships/ctrlProp" Target="../ctrlProps/ctrlProp124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31" Type="http://schemas.openxmlformats.org/officeDocument/2006/relationships/ctrlProp" Target="../ctrlProps/ctrlProp119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Relationship Id="rId22" Type="http://schemas.openxmlformats.org/officeDocument/2006/relationships/ctrlProp" Target="../ctrlProps/ctrlProp110.xml"/><Relationship Id="rId27" Type="http://schemas.openxmlformats.org/officeDocument/2006/relationships/ctrlProp" Target="../ctrlProps/ctrlProp115.xml"/><Relationship Id="rId30" Type="http://schemas.openxmlformats.org/officeDocument/2006/relationships/ctrlProp" Target="../ctrlProps/ctrlProp118.xml"/><Relationship Id="rId35" Type="http://schemas.openxmlformats.org/officeDocument/2006/relationships/ctrlProp" Target="../ctrlProps/ctrlProp123.xml"/><Relationship Id="rId8" Type="http://schemas.openxmlformats.org/officeDocument/2006/relationships/ctrlProp" Target="../ctrlProps/ctrlProp96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49.xml"/><Relationship Id="rId21" Type="http://schemas.openxmlformats.org/officeDocument/2006/relationships/ctrlProp" Target="../ctrlProps/ctrlProp144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63" Type="http://schemas.openxmlformats.org/officeDocument/2006/relationships/ctrlProp" Target="../ctrlProps/ctrlProp186.xml"/><Relationship Id="rId68" Type="http://schemas.openxmlformats.org/officeDocument/2006/relationships/ctrlProp" Target="../ctrlProps/ctrlProp191.xml"/><Relationship Id="rId84" Type="http://schemas.openxmlformats.org/officeDocument/2006/relationships/ctrlProp" Target="../ctrlProps/ctrlProp207.xml"/><Relationship Id="rId89" Type="http://schemas.openxmlformats.org/officeDocument/2006/relationships/ctrlProp" Target="../ctrlProps/ctrlProp212.xml"/><Relationship Id="rId16" Type="http://schemas.openxmlformats.org/officeDocument/2006/relationships/ctrlProp" Target="../ctrlProps/ctrlProp139.xml"/><Relationship Id="rId11" Type="http://schemas.openxmlformats.org/officeDocument/2006/relationships/ctrlProp" Target="../ctrlProps/ctrlProp134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53" Type="http://schemas.openxmlformats.org/officeDocument/2006/relationships/ctrlProp" Target="../ctrlProps/ctrlProp176.xml"/><Relationship Id="rId58" Type="http://schemas.openxmlformats.org/officeDocument/2006/relationships/ctrlProp" Target="../ctrlProps/ctrlProp181.xml"/><Relationship Id="rId74" Type="http://schemas.openxmlformats.org/officeDocument/2006/relationships/ctrlProp" Target="../ctrlProps/ctrlProp197.xml"/><Relationship Id="rId79" Type="http://schemas.openxmlformats.org/officeDocument/2006/relationships/ctrlProp" Target="../ctrlProps/ctrlProp202.xml"/><Relationship Id="rId102" Type="http://schemas.openxmlformats.org/officeDocument/2006/relationships/ctrlProp" Target="../ctrlProps/ctrlProp225.xml"/><Relationship Id="rId5" Type="http://schemas.openxmlformats.org/officeDocument/2006/relationships/ctrlProp" Target="../ctrlProps/ctrlProp128.xml"/><Relationship Id="rId90" Type="http://schemas.openxmlformats.org/officeDocument/2006/relationships/ctrlProp" Target="../ctrlProps/ctrlProp213.xml"/><Relationship Id="rId95" Type="http://schemas.openxmlformats.org/officeDocument/2006/relationships/ctrlProp" Target="../ctrlProps/ctrlProp218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64" Type="http://schemas.openxmlformats.org/officeDocument/2006/relationships/ctrlProp" Target="../ctrlProps/ctrlProp187.xml"/><Relationship Id="rId69" Type="http://schemas.openxmlformats.org/officeDocument/2006/relationships/ctrlProp" Target="../ctrlProps/ctrlProp192.xml"/><Relationship Id="rId80" Type="http://schemas.openxmlformats.org/officeDocument/2006/relationships/ctrlProp" Target="../ctrlProps/ctrlProp203.xml"/><Relationship Id="rId85" Type="http://schemas.openxmlformats.org/officeDocument/2006/relationships/ctrlProp" Target="../ctrlProps/ctrlProp208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46" Type="http://schemas.openxmlformats.org/officeDocument/2006/relationships/ctrlProp" Target="../ctrlProps/ctrlProp169.xml"/><Relationship Id="rId59" Type="http://schemas.openxmlformats.org/officeDocument/2006/relationships/ctrlProp" Target="../ctrlProps/ctrlProp182.xml"/><Relationship Id="rId67" Type="http://schemas.openxmlformats.org/officeDocument/2006/relationships/ctrlProp" Target="../ctrlProps/ctrlProp190.xml"/><Relationship Id="rId103" Type="http://schemas.openxmlformats.org/officeDocument/2006/relationships/ctrlProp" Target="../ctrlProps/ctrlProp226.xml"/><Relationship Id="rId20" Type="http://schemas.openxmlformats.org/officeDocument/2006/relationships/ctrlProp" Target="../ctrlProps/ctrlProp143.xml"/><Relationship Id="rId41" Type="http://schemas.openxmlformats.org/officeDocument/2006/relationships/ctrlProp" Target="../ctrlProps/ctrlProp164.xml"/><Relationship Id="rId54" Type="http://schemas.openxmlformats.org/officeDocument/2006/relationships/ctrlProp" Target="../ctrlProps/ctrlProp177.xml"/><Relationship Id="rId62" Type="http://schemas.openxmlformats.org/officeDocument/2006/relationships/ctrlProp" Target="../ctrlProps/ctrlProp185.xml"/><Relationship Id="rId70" Type="http://schemas.openxmlformats.org/officeDocument/2006/relationships/ctrlProp" Target="../ctrlProps/ctrlProp193.xml"/><Relationship Id="rId75" Type="http://schemas.openxmlformats.org/officeDocument/2006/relationships/ctrlProp" Target="../ctrlProps/ctrlProp198.xml"/><Relationship Id="rId83" Type="http://schemas.openxmlformats.org/officeDocument/2006/relationships/ctrlProp" Target="../ctrlProps/ctrlProp206.xml"/><Relationship Id="rId88" Type="http://schemas.openxmlformats.org/officeDocument/2006/relationships/ctrlProp" Target="../ctrlProps/ctrlProp211.xml"/><Relationship Id="rId91" Type="http://schemas.openxmlformats.org/officeDocument/2006/relationships/ctrlProp" Target="../ctrlProps/ctrlProp214.xml"/><Relationship Id="rId96" Type="http://schemas.openxmlformats.org/officeDocument/2006/relationships/ctrlProp" Target="../ctrlProps/ctrlProp2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9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57" Type="http://schemas.openxmlformats.org/officeDocument/2006/relationships/ctrlProp" Target="../ctrlProps/ctrlProp180.xml"/><Relationship Id="rId10" Type="http://schemas.openxmlformats.org/officeDocument/2006/relationships/ctrlProp" Target="../ctrlProps/ctrlProp133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60" Type="http://schemas.openxmlformats.org/officeDocument/2006/relationships/ctrlProp" Target="../ctrlProps/ctrlProp183.xml"/><Relationship Id="rId65" Type="http://schemas.openxmlformats.org/officeDocument/2006/relationships/ctrlProp" Target="../ctrlProps/ctrlProp188.xml"/><Relationship Id="rId73" Type="http://schemas.openxmlformats.org/officeDocument/2006/relationships/ctrlProp" Target="../ctrlProps/ctrlProp196.xml"/><Relationship Id="rId78" Type="http://schemas.openxmlformats.org/officeDocument/2006/relationships/ctrlProp" Target="../ctrlProps/ctrlProp201.xml"/><Relationship Id="rId81" Type="http://schemas.openxmlformats.org/officeDocument/2006/relationships/ctrlProp" Target="../ctrlProps/ctrlProp204.xml"/><Relationship Id="rId86" Type="http://schemas.openxmlformats.org/officeDocument/2006/relationships/ctrlProp" Target="../ctrlProps/ctrlProp209.xml"/><Relationship Id="rId94" Type="http://schemas.openxmlformats.org/officeDocument/2006/relationships/ctrlProp" Target="../ctrlProps/ctrlProp217.xml"/><Relationship Id="rId99" Type="http://schemas.openxmlformats.org/officeDocument/2006/relationships/ctrlProp" Target="../ctrlProps/ctrlProp222.xml"/><Relationship Id="rId101" Type="http://schemas.openxmlformats.org/officeDocument/2006/relationships/ctrlProp" Target="../ctrlProps/ctrlProp22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39" Type="http://schemas.openxmlformats.org/officeDocument/2006/relationships/ctrlProp" Target="../ctrlProps/ctrlProp162.xml"/><Relationship Id="rId34" Type="http://schemas.openxmlformats.org/officeDocument/2006/relationships/ctrlProp" Target="../ctrlProps/ctrlProp157.xml"/><Relationship Id="rId50" Type="http://schemas.openxmlformats.org/officeDocument/2006/relationships/ctrlProp" Target="../ctrlProps/ctrlProp173.xml"/><Relationship Id="rId55" Type="http://schemas.openxmlformats.org/officeDocument/2006/relationships/ctrlProp" Target="../ctrlProps/ctrlProp178.xml"/><Relationship Id="rId76" Type="http://schemas.openxmlformats.org/officeDocument/2006/relationships/ctrlProp" Target="../ctrlProps/ctrlProp199.xml"/><Relationship Id="rId97" Type="http://schemas.openxmlformats.org/officeDocument/2006/relationships/ctrlProp" Target="../ctrlProps/ctrlProp220.xml"/><Relationship Id="rId104" Type="http://schemas.openxmlformats.org/officeDocument/2006/relationships/ctrlProp" Target="../ctrlProps/ctrlProp227.xml"/><Relationship Id="rId7" Type="http://schemas.openxmlformats.org/officeDocument/2006/relationships/ctrlProp" Target="../ctrlProps/ctrlProp130.xml"/><Relationship Id="rId71" Type="http://schemas.openxmlformats.org/officeDocument/2006/relationships/ctrlProp" Target="../ctrlProps/ctrlProp194.xml"/><Relationship Id="rId92" Type="http://schemas.openxmlformats.org/officeDocument/2006/relationships/ctrlProp" Target="../ctrlProps/ctrlProp21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152.xml"/><Relationship Id="rId24" Type="http://schemas.openxmlformats.org/officeDocument/2006/relationships/ctrlProp" Target="../ctrlProps/ctrlProp147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66" Type="http://schemas.openxmlformats.org/officeDocument/2006/relationships/ctrlProp" Target="../ctrlProps/ctrlProp189.xml"/><Relationship Id="rId87" Type="http://schemas.openxmlformats.org/officeDocument/2006/relationships/ctrlProp" Target="../ctrlProps/ctrlProp210.xml"/><Relationship Id="rId61" Type="http://schemas.openxmlformats.org/officeDocument/2006/relationships/ctrlProp" Target="../ctrlProps/ctrlProp184.xml"/><Relationship Id="rId82" Type="http://schemas.openxmlformats.org/officeDocument/2006/relationships/ctrlProp" Target="../ctrlProps/ctrlProp205.xml"/><Relationship Id="rId19" Type="http://schemas.openxmlformats.org/officeDocument/2006/relationships/ctrlProp" Target="../ctrlProps/ctrlProp142.xml"/><Relationship Id="rId14" Type="http://schemas.openxmlformats.org/officeDocument/2006/relationships/ctrlProp" Target="../ctrlProps/ctrlProp137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56" Type="http://schemas.openxmlformats.org/officeDocument/2006/relationships/ctrlProp" Target="../ctrlProps/ctrlProp179.xml"/><Relationship Id="rId77" Type="http://schemas.openxmlformats.org/officeDocument/2006/relationships/ctrlProp" Target="../ctrlProps/ctrlProp200.xml"/><Relationship Id="rId100" Type="http://schemas.openxmlformats.org/officeDocument/2006/relationships/ctrlProp" Target="../ctrlProps/ctrlProp223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Relationship Id="rId72" Type="http://schemas.openxmlformats.org/officeDocument/2006/relationships/ctrlProp" Target="../ctrlProps/ctrlProp195.xml"/><Relationship Id="rId93" Type="http://schemas.openxmlformats.org/officeDocument/2006/relationships/ctrlProp" Target="../ctrlProps/ctrlProp216.xml"/><Relationship Id="rId98" Type="http://schemas.openxmlformats.org/officeDocument/2006/relationships/ctrlProp" Target="../ctrlProps/ctrlProp221.xml"/><Relationship Id="rId3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9D7BD-5BF2-4755-9C44-FCBC9E266F32}">
  <sheetPr codeName="Sheet6">
    <tabColor theme="9" tint="-0.499984740745262"/>
    <pageSetUpPr autoPageBreaks="0"/>
  </sheetPr>
  <dimension ref="B1:N11"/>
  <sheetViews>
    <sheetView showZeros="0" zoomScale="150" zoomScaleNormal="100" workbookViewId="0">
      <selection activeCell="F2" sqref="F2"/>
    </sheetView>
  </sheetViews>
  <sheetFormatPr baseColWidth="10" defaultColWidth="9" defaultRowHeight="14"/>
  <cols>
    <col min="1" max="1" width="7.59765625" customWidth="1"/>
    <col min="2" max="2" width="16.59765625" customWidth="1"/>
    <col min="3" max="4" width="16.796875" customWidth="1"/>
    <col min="5" max="5" width="16.19921875" customWidth="1"/>
    <col min="6" max="6" width="18.3984375" customWidth="1"/>
    <col min="8" max="8" width="5.59765625" customWidth="1"/>
    <col min="9" max="9" width="9.796875" customWidth="1"/>
    <col min="10" max="10" width="14.796875" customWidth="1"/>
    <col min="11" max="11" width="13.19921875" bestFit="1" customWidth="1"/>
    <col min="12" max="12" width="9.19921875" customWidth="1"/>
    <col min="13" max="13" width="1.59765625" customWidth="1"/>
    <col min="14" max="14" width="13.19921875" customWidth="1"/>
  </cols>
  <sheetData>
    <row r="1" spans="2:14" ht="24" customHeight="1">
      <c r="C1" s="40" t="s">
        <v>4</v>
      </c>
      <c r="D1" s="40" t="s">
        <v>12</v>
      </c>
      <c r="E1" s="40" t="s">
        <v>1</v>
      </c>
      <c r="F1" s="40" t="s">
        <v>2</v>
      </c>
      <c r="I1" s="7" t="s">
        <v>9</v>
      </c>
      <c r="J1" s="7" t="s">
        <v>14</v>
      </c>
      <c r="K1" s="6" t="s">
        <v>13</v>
      </c>
    </row>
    <row r="2" spans="2:14" ht="33" customHeight="1">
      <c r="B2" s="56" t="s">
        <v>46</v>
      </c>
      <c r="C2" s="49"/>
      <c r="D2" s="50"/>
      <c r="E2" s="54">
        <v>0.33749999999999997</v>
      </c>
      <c r="F2" s="47">
        <f t="shared" ref="F2:F9" si="0">CEILING(IF(E2="",0,E2+30/24/60),"0:10")</f>
        <v>0.3611111111111111</v>
      </c>
      <c r="G2" s="51"/>
      <c r="H2" s="51"/>
      <c r="I2" s="52">
        <v>3</v>
      </c>
      <c r="J2" s="13" t="str">
        <f t="shared" ref="J2:J9" si="1">IF(I2&gt;=5,"充電必要","")</f>
        <v/>
      </c>
      <c r="K2" s="36">
        <f t="shared" ref="K2:K9" si="2">CEILING((M2+60/24/60),"0:10")</f>
        <v>4.1666666666666664E-2</v>
      </c>
      <c r="L2" s="37"/>
      <c r="M2" s="5"/>
      <c r="N2" s="5"/>
    </row>
    <row r="3" spans="2:14" ht="33" customHeight="1">
      <c r="B3" s="56" t="s">
        <v>43</v>
      </c>
      <c r="C3" s="49"/>
      <c r="D3" s="50"/>
      <c r="E3" s="54"/>
      <c r="F3" s="47">
        <f t="shared" si="0"/>
        <v>0</v>
      </c>
      <c r="G3" s="51"/>
      <c r="H3" s="51"/>
      <c r="I3" s="52"/>
      <c r="J3" s="13" t="str">
        <f t="shared" si="1"/>
        <v/>
      </c>
      <c r="K3" s="36">
        <f t="shared" si="2"/>
        <v>4.1666666666666664E-2</v>
      </c>
      <c r="L3" s="37"/>
      <c r="M3" s="5"/>
      <c r="N3" s="5"/>
    </row>
    <row r="4" spans="2:14" ht="33" customHeight="1">
      <c r="B4" s="56" t="s">
        <v>51</v>
      </c>
      <c r="C4" s="49"/>
      <c r="D4" s="50"/>
      <c r="E4" s="54"/>
      <c r="F4" s="47">
        <f t="shared" si="0"/>
        <v>0</v>
      </c>
      <c r="G4" s="51"/>
      <c r="H4" s="51"/>
      <c r="I4" s="52"/>
      <c r="J4" s="13" t="str">
        <f t="shared" si="1"/>
        <v/>
      </c>
      <c r="K4" s="36">
        <f t="shared" si="2"/>
        <v>4.1666666666666664E-2</v>
      </c>
      <c r="L4" s="37"/>
      <c r="M4" s="5"/>
      <c r="N4" s="5"/>
    </row>
    <row r="5" spans="2:14" ht="33" customHeight="1">
      <c r="B5" s="56" t="s">
        <v>52</v>
      </c>
      <c r="C5" s="49"/>
      <c r="D5" s="50"/>
      <c r="E5" s="54"/>
      <c r="F5" s="47">
        <f t="shared" si="0"/>
        <v>0</v>
      </c>
      <c r="G5" s="51"/>
      <c r="H5" s="51"/>
      <c r="I5" s="52"/>
      <c r="J5" s="13" t="str">
        <f t="shared" si="1"/>
        <v/>
      </c>
      <c r="K5" s="36">
        <f t="shared" si="2"/>
        <v>4.1666666666666664E-2</v>
      </c>
      <c r="L5" s="37"/>
      <c r="M5" s="5"/>
      <c r="N5" s="5"/>
    </row>
    <row r="6" spans="2:14" ht="33" customHeight="1">
      <c r="B6" s="56" t="s">
        <v>37</v>
      </c>
      <c r="C6" s="49"/>
      <c r="D6" s="50"/>
      <c r="E6" s="54"/>
      <c r="F6" s="47">
        <f t="shared" si="0"/>
        <v>0</v>
      </c>
      <c r="G6" s="51"/>
      <c r="H6" s="51"/>
      <c r="I6" s="52"/>
      <c r="J6" s="13" t="str">
        <f t="shared" si="1"/>
        <v/>
      </c>
      <c r="K6" s="36">
        <f t="shared" si="2"/>
        <v>4.1666666666666664E-2</v>
      </c>
      <c r="L6" s="37"/>
      <c r="M6" s="5"/>
      <c r="N6" s="5"/>
    </row>
    <row r="7" spans="2:14" ht="33" customHeight="1">
      <c r="B7" s="56" t="s">
        <v>53</v>
      </c>
      <c r="C7" s="49"/>
      <c r="D7" s="50"/>
      <c r="E7" s="54"/>
      <c r="F7" s="47">
        <f t="shared" si="0"/>
        <v>0</v>
      </c>
      <c r="G7" s="51"/>
      <c r="H7" s="51"/>
      <c r="I7" s="52"/>
      <c r="J7" s="13" t="str">
        <f t="shared" si="1"/>
        <v/>
      </c>
      <c r="K7" s="36">
        <f t="shared" si="2"/>
        <v>4.1666666666666664E-2</v>
      </c>
      <c r="L7" s="37"/>
      <c r="M7" s="5"/>
      <c r="N7" s="5"/>
    </row>
    <row r="8" spans="2:14" ht="33" customHeight="1">
      <c r="B8" s="56" t="s">
        <v>47</v>
      </c>
      <c r="C8" s="49"/>
      <c r="D8" s="50"/>
      <c r="E8" s="54"/>
      <c r="F8" s="47">
        <f t="shared" si="0"/>
        <v>0</v>
      </c>
      <c r="G8" s="51"/>
      <c r="H8" s="51"/>
      <c r="I8" s="52"/>
      <c r="J8" s="13" t="str">
        <f t="shared" si="1"/>
        <v/>
      </c>
      <c r="K8" s="36">
        <f t="shared" si="2"/>
        <v>4.1666666666666664E-2</v>
      </c>
      <c r="L8" s="37"/>
      <c r="M8" s="5"/>
      <c r="N8" s="5"/>
    </row>
    <row r="9" spans="2:14" ht="33" customHeight="1">
      <c r="B9" s="56" t="s">
        <v>48</v>
      </c>
      <c r="C9" s="49"/>
      <c r="D9" s="50"/>
      <c r="E9" s="54"/>
      <c r="F9" s="47">
        <f t="shared" si="0"/>
        <v>0</v>
      </c>
      <c r="G9" s="51"/>
      <c r="H9" s="51"/>
      <c r="I9" s="52"/>
      <c r="J9" s="13" t="str">
        <f t="shared" si="1"/>
        <v/>
      </c>
      <c r="K9" s="36">
        <f t="shared" si="2"/>
        <v>4.1666666666666664E-2</v>
      </c>
      <c r="L9" s="37"/>
      <c r="M9" s="5"/>
      <c r="N9" s="5"/>
    </row>
    <row r="10" spans="2:14" ht="18" customHeight="1">
      <c r="J10" s="6" t="s">
        <v>54</v>
      </c>
      <c r="L10" t="s">
        <v>56</v>
      </c>
    </row>
    <row r="11" spans="2:14" ht="18" customHeight="1">
      <c r="J11" s="6" t="s">
        <v>55</v>
      </c>
      <c r="L11" s="6"/>
    </row>
  </sheetData>
  <phoneticPr fontId="1"/>
  <conditionalFormatting sqref="I2:I9">
    <cfRule type="cellIs" dxfId="3" priority="1" operator="greaterThan">
      <formula>4</formula>
    </cfRule>
  </conditionalFormatting>
  <pageMargins left="0.7" right="0.7" top="0.75" bottom="0.75" header="0.3" footer="0.3"/>
  <pageSetup paperSize="0" orientation="portrait" horizontalDpi="203" verticalDpi="203" r:id="rId1"/>
  <ignoredErrors>
    <ignoredError sqref="F2:F3 J2:K9 F4:F9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返却1">
                <anchor moveWithCells="1">
                  <from>
                    <xdr:col>3</xdr:col>
                    <xdr:colOff>101600</xdr:colOff>
                    <xdr:row>1</xdr:row>
                    <xdr:rowOff>25400</xdr:rowOff>
                  </from>
                  <to>
                    <xdr:col>3</xdr:col>
                    <xdr:colOff>1054100</xdr:colOff>
                    <xdr:row>1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BS貸出1">
                <anchor moveWithCells="1">
                  <from>
                    <xdr:col>2</xdr:col>
                    <xdr:colOff>101600</xdr:colOff>
                    <xdr:row>1</xdr:row>
                    <xdr:rowOff>25400</xdr:rowOff>
                  </from>
                  <to>
                    <xdr:col>2</xdr:col>
                    <xdr:colOff>1066800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旧BS印刷1">
                <anchor moveWithCells="1">
                  <from>
                    <xdr:col>6</xdr:col>
                    <xdr:colOff>76200</xdr:colOff>
                    <xdr:row>1</xdr:row>
                    <xdr:rowOff>25400</xdr:rowOff>
                  </from>
                  <to>
                    <xdr:col>7</xdr:col>
                    <xdr:colOff>292100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充電完了1">
                <anchor moveWithCells="1">
                  <from>
                    <xdr:col>12</xdr:col>
                    <xdr:colOff>127000</xdr:colOff>
                    <xdr:row>1</xdr:row>
                    <xdr:rowOff>25400</xdr:rowOff>
                  </from>
                  <to>
                    <xdr:col>13</xdr:col>
                    <xdr:colOff>838200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ALLクリアBS">
                <anchor moveWithCells="1">
                  <from>
                    <xdr:col>14</xdr:col>
                    <xdr:colOff>25400</xdr:colOff>
                    <xdr:row>1</xdr:row>
                    <xdr:rowOff>38100</xdr:rowOff>
                  </from>
                  <to>
                    <xdr:col>15</xdr:col>
                    <xdr:colOff>546100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充電開始1">
                <anchor moveWithCells="1">
                  <from>
                    <xdr:col>11</xdr:col>
                    <xdr:colOff>25400</xdr:colOff>
                    <xdr:row>1</xdr:row>
                    <xdr:rowOff>25400</xdr:rowOff>
                  </from>
                  <to>
                    <xdr:col>12</xdr:col>
                    <xdr:colOff>25400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0" name="Button 9">
              <controlPr defaultSize="0" print="0" autoFill="0" autoPict="0" macro="[0]!返却2">
                <anchor moveWithCells="1">
                  <from>
                    <xdr:col>3</xdr:col>
                    <xdr:colOff>101600</xdr:colOff>
                    <xdr:row>2</xdr:row>
                    <xdr:rowOff>25400</xdr:rowOff>
                  </from>
                  <to>
                    <xdr:col>3</xdr:col>
                    <xdr:colOff>1054100</xdr:colOff>
                    <xdr:row>2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1" name="Button 10">
              <controlPr defaultSize="0" print="0" autoFill="0" autoPict="0" macro="[0]!BS貸出2">
                <anchor moveWithCells="1">
                  <from>
                    <xdr:col>2</xdr:col>
                    <xdr:colOff>101600</xdr:colOff>
                    <xdr:row>2</xdr:row>
                    <xdr:rowOff>25400</xdr:rowOff>
                  </from>
                  <to>
                    <xdr:col>2</xdr:col>
                    <xdr:colOff>1066800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2" name="Button 11">
              <controlPr defaultSize="0" print="0" autoFill="0" autoPict="0" macro="[0]!旧BS印刷2">
                <anchor moveWithCells="1">
                  <from>
                    <xdr:col>6</xdr:col>
                    <xdr:colOff>76200</xdr:colOff>
                    <xdr:row>2</xdr:row>
                    <xdr:rowOff>25400</xdr:rowOff>
                  </from>
                  <to>
                    <xdr:col>7</xdr:col>
                    <xdr:colOff>292100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3" name="Button 12">
              <controlPr defaultSize="0" print="0" autoFill="0" autoPict="0" macro="[0]!充電完了2">
                <anchor moveWithCells="1">
                  <from>
                    <xdr:col>12</xdr:col>
                    <xdr:colOff>127000</xdr:colOff>
                    <xdr:row>2</xdr:row>
                    <xdr:rowOff>25400</xdr:rowOff>
                  </from>
                  <to>
                    <xdr:col>13</xdr:col>
                    <xdr:colOff>838200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4" name="Button 13">
              <controlPr defaultSize="0" print="0" autoFill="0" autoPict="0" macro="[0]!充電開始2">
                <anchor moveWithCells="1">
                  <from>
                    <xdr:col>11</xdr:col>
                    <xdr:colOff>25400</xdr:colOff>
                    <xdr:row>2</xdr:row>
                    <xdr:rowOff>25400</xdr:rowOff>
                  </from>
                  <to>
                    <xdr:col>12</xdr:col>
                    <xdr:colOff>25400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5" name="Button 14">
              <controlPr defaultSize="0" print="0" autoFill="0" autoPict="0" macro="[0]!返却3">
                <anchor moveWithCells="1">
                  <from>
                    <xdr:col>3</xdr:col>
                    <xdr:colOff>101600</xdr:colOff>
                    <xdr:row>3</xdr:row>
                    <xdr:rowOff>25400</xdr:rowOff>
                  </from>
                  <to>
                    <xdr:col>3</xdr:col>
                    <xdr:colOff>1054100</xdr:colOff>
                    <xdr:row>3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6" name="Button 15">
              <controlPr defaultSize="0" print="0" autoFill="0" autoPict="0" macro="[0]!BS貸出3">
                <anchor moveWithCells="1">
                  <from>
                    <xdr:col>2</xdr:col>
                    <xdr:colOff>101600</xdr:colOff>
                    <xdr:row>3</xdr:row>
                    <xdr:rowOff>25400</xdr:rowOff>
                  </from>
                  <to>
                    <xdr:col>2</xdr:col>
                    <xdr:colOff>1066800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7" name="Button 16">
              <controlPr defaultSize="0" print="0" autoFill="0" autoPict="0" macro="[0]!旧BS印刷3">
                <anchor moveWithCells="1">
                  <from>
                    <xdr:col>6</xdr:col>
                    <xdr:colOff>76200</xdr:colOff>
                    <xdr:row>3</xdr:row>
                    <xdr:rowOff>25400</xdr:rowOff>
                  </from>
                  <to>
                    <xdr:col>7</xdr:col>
                    <xdr:colOff>292100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8" name="Button 17">
              <controlPr defaultSize="0" print="0" autoFill="0" autoPict="0" macro="[0]!充電完了3">
                <anchor moveWithCells="1">
                  <from>
                    <xdr:col>12</xdr:col>
                    <xdr:colOff>127000</xdr:colOff>
                    <xdr:row>3</xdr:row>
                    <xdr:rowOff>25400</xdr:rowOff>
                  </from>
                  <to>
                    <xdr:col>13</xdr:col>
                    <xdr:colOff>838200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9" name="Button 18">
              <controlPr defaultSize="0" print="0" autoFill="0" autoPict="0" macro="[0]!充電開始3">
                <anchor moveWithCells="1">
                  <from>
                    <xdr:col>11</xdr:col>
                    <xdr:colOff>25400</xdr:colOff>
                    <xdr:row>3</xdr:row>
                    <xdr:rowOff>25400</xdr:rowOff>
                  </from>
                  <to>
                    <xdr:col>12</xdr:col>
                    <xdr:colOff>25400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0" name="Button 19">
              <controlPr defaultSize="0" print="0" autoFill="0" autoPict="0" macro="[0]!返却4">
                <anchor moveWithCells="1">
                  <from>
                    <xdr:col>3</xdr:col>
                    <xdr:colOff>101600</xdr:colOff>
                    <xdr:row>4</xdr:row>
                    <xdr:rowOff>25400</xdr:rowOff>
                  </from>
                  <to>
                    <xdr:col>3</xdr:col>
                    <xdr:colOff>1054100</xdr:colOff>
                    <xdr:row>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1" name="Button 20">
              <controlPr defaultSize="0" print="0" autoFill="0" autoPict="0" macro="[0]!BS貸出4">
                <anchor moveWithCells="1">
                  <from>
                    <xdr:col>2</xdr:col>
                    <xdr:colOff>101600</xdr:colOff>
                    <xdr:row>4</xdr:row>
                    <xdr:rowOff>25400</xdr:rowOff>
                  </from>
                  <to>
                    <xdr:col>2</xdr:col>
                    <xdr:colOff>1066800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2" name="Button 21">
              <controlPr defaultSize="0" print="0" autoFill="0" autoPict="0" macro="[0]!旧BS印刷4">
                <anchor moveWithCells="1">
                  <from>
                    <xdr:col>6</xdr:col>
                    <xdr:colOff>76200</xdr:colOff>
                    <xdr:row>4</xdr:row>
                    <xdr:rowOff>25400</xdr:rowOff>
                  </from>
                  <to>
                    <xdr:col>7</xdr:col>
                    <xdr:colOff>292100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3" name="Button 22">
              <controlPr defaultSize="0" print="0" autoFill="0" autoPict="0" macro="[0]!充電完了4">
                <anchor moveWithCells="1">
                  <from>
                    <xdr:col>12</xdr:col>
                    <xdr:colOff>127000</xdr:colOff>
                    <xdr:row>4</xdr:row>
                    <xdr:rowOff>25400</xdr:rowOff>
                  </from>
                  <to>
                    <xdr:col>13</xdr:col>
                    <xdr:colOff>838200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4" name="Button 23">
              <controlPr defaultSize="0" print="0" autoFill="0" autoPict="0" macro="[0]!充電開始4">
                <anchor moveWithCells="1">
                  <from>
                    <xdr:col>11</xdr:col>
                    <xdr:colOff>25400</xdr:colOff>
                    <xdr:row>4</xdr:row>
                    <xdr:rowOff>25400</xdr:rowOff>
                  </from>
                  <to>
                    <xdr:col>12</xdr:col>
                    <xdr:colOff>25400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5" name="Button 24">
              <controlPr defaultSize="0" print="0" autoFill="0" autoPict="0" macro="[0]!返却5">
                <anchor moveWithCells="1">
                  <from>
                    <xdr:col>3</xdr:col>
                    <xdr:colOff>101600</xdr:colOff>
                    <xdr:row>5</xdr:row>
                    <xdr:rowOff>25400</xdr:rowOff>
                  </from>
                  <to>
                    <xdr:col>3</xdr:col>
                    <xdr:colOff>1054100</xdr:colOff>
                    <xdr:row>5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6" name="Button 25">
              <controlPr defaultSize="0" print="0" autoFill="0" autoPict="0" macro="[0]!BS貸出5">
                <anchor moveWithCells="1">
                  <from>
                    <xdr:col>2</xdr:col>
                    <xdr:colOff>101600</xdr:colOff>
                    <xdr:row>5</xdr:row>
                    <xdr:rowOff>25400</xdr:rowOff>
                  </from>
                  <to>
                    <xdr:col>2</xdr:col>
                    <xdr:colOff>1066800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7" name="Button 26">
              <controlPr defaultSize="0" print="0" autoFill="0" autoPict="0" macro="[0]!旧BS印刷5">
                <anchor moveWithCells="1">
                  <from>
                    <xdr:col>6</xdr:col>
                    <xdr:colOff>76200</xdr:colOff>
                    <xdr:row>5</xdr:row>
                    <xdr:rowOff>25400</xdr:rowOff>
                  </from>
                  <to>
                    <xdr:col>7</xdr:col>
                    <xdr:colOff>292100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8" name="Button 27">
              <controlPr defaultSize="0" print="0" autoFill="0" autoPict="0" macro="[0]!充電完了5">
                <anchor moveWithCells="1">
                  <from>
                    <xdr:col>12</xdr:col>
                    <xdr:colOff>127000</xdr:colOff>
                    <xdr:row>5</xdr:row>
                    <xdr:rowOff>25400</xdr:rowOff>
                  </from>
                  <to>
                    <xdr:col>13</xdr:col>
                    <xdr:colOff>838200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9" name="Button 28">
              <controlPr defaultSize="0" print="0" autoFill="0" autoPict="0" macro="[0]!充電開始5">
                <anchor moveWithCells="1">
                  <from>
                    <xdr:col>11</xdr:col>
                    <xdr:colOff>25400</xdr:colOff>
                    <xdr:row>5</xdr:row>
                    <xdr:rowOff>25400</xdr:rowOff>
                  </from>
                  <to>
                    <xdr:col>12</xdr:col>
                    <xdr:colOff>25400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0" name="Button 29">
              <controlPr defaultSize="0" print="0" autoFill="0" autoPict="0" macro="[0]!返却6">
                <anchor moveWithCells="1">
                  <from>
                    <xdr:col>3</xdr:col>
                    <xdr:colOff>101600</xdr:colOff>
                    <xdr:row>6</xdr:row>
                    <xdr:rowOff>25400</xdr:rowOff>
                  </from>
                  <to>
                    <xdr:col>3</xdr:col>
                    <xdr:colOff>1054100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1" name="Button 30">
              <controlPr defaultSize="0" print="0" autoFill="0" autoPict="0" macro="[0]!BS貸出6">
                <anchor moveWithCells="1">
                  <from>
                    <xdr:col>2</xdr:col>
                    <xdr:colOff>101600</xdr:colOff>
                    <xdr:row>6</xdr:row>
                    <xdr:rowOff>25400</xdr:rowOff>
                  </from>
                  <to>
                    <xdr:col>2</xdr:col>
                    <xdr:colOff>1066800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2" name="Button 31">
              <controlPr defaultSize="0" print="0" autoFill="0" autoPict="0" macro="[0]!旧BS印刷6">
                <anchor moveWithCells="1">
                  <from>
                    <xdr:col>6</xdr:col>
                    <xdr:colOff>76200</xdr:colOff>
                    <xdr:row>6</xdr:row>
                    <xdr:rowOff>25400</xdr:rowOff>
                  </from>
                  <to>
                    <xdr:col>7</xdr:col>
                    <xdr:colOff>292100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3" name="Button 32">
              <controlPr defaultSize="0" print="0" autoFill="0" autoPict="0" macro="[0]!充電完了6">
                <anchor moveWithCells="1">
                  <from>
                    <xdr:col>12</xdr:col>
                    <xdr:colOff>127000</xdr:colOff>
                    <xdr:row>6</xdr:row>
                    <xdr:rowOff>25400</xdr:rowOff>
                  </from>
                  <to>
                    <xdr:col>13</xdr:col>
                    <xdr:colOff>838200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4" name="Button 33">
              <controlPr defaultSize="0" print="0" autoFill="0" autoPict="0" macro="[0]!充電開始6">
                <anchor moveWithCells="1">
                  <from>
                    <xdr:col>11</xdr:col>
                    <xdr:colOff>25400</xdr:colOff>
                    <xdr:row>6</xdr:row>
                    <xdr:rowOff>25400</xdr:rowOff>
                  </from>
                  <to>
                    <xdr:col>12</xdr:col>
                    <xdr:colOff>25400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5" name="Button 34">
              <controlPr defaultSize="0" print="0" autoFill="0" autoPict="0" macro="[0]!返却7">
                <anchor moveWithCells="1">
                  <from>
                    <xdr:col>3</xdr:col>
                    <xdr:colOff>101600</xdr:colOff>
                    <xdr:row>7</xdr:row>
                    <xdr:rowOff>25400</xdr:rowOff>
                  </from>
                  <to>
                    <xdr:col>3</xdr:col>
                    <xdr:colOff>1054100</xdr:colOff>
                    <xdr:row>7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6" name="Button 35">
              <controlPr defaultSize="0" print="0" autoFill="0" autoPict="0" macro="[0]!BS貸出7">
                <anchor moveWithCells="1">
                  <from>
                    <xdr:col>2</xdr:col>
                    <xdr:colOff>101600</xdr:colOff>
                    <xdr:row>7</xdr:row>
                    <xdr:rowOff>25400</xdr:rowOff>
                  </from>
                  <to>
                    <xdr:col>2</xdr:col>
                    <xdr:colOff>1066800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7" name="Button 36">
              <controlPr defaultSize="0" print="0" autoFill="0" autoPict="0" macro="[0]!旧BS印刷7">
                <anchor moveWithCells="1">
                  <from>
                    <xdr:col>6</xdr:col>
                    <xdr:colOff>76200</xdr:colOff>
                    <xdr:row>7</xdr:row>
                    <xdr:rowOff>25400</xdr:rowOff>
                  </from>
                  <to>
                    <xdr:col>7</xdr:col>
                    <xdr:colOff>292100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8" name="Button 37">
              <controlPr defaultSize="0" print="0" autoFill="0" autoPict="0" macro="[0]!充電完了7">
                <anchor moveWithCells="1">
                  <from>
                    <xdr:col>12</xdr:col>
                    <xdr:colOff>127000</xdr:colOff>
                    <xdr:row>7</xdr:row>
                    <xdr:rowOff>25400</xdr:rowOff>
                  </from>
                  <to>
                    <xdr:col>13</xdr:col>
                    <xdr:colOff>838200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9" name="Button 38">
              <controlPr defaultSize="0" print="0" autoFill="0" autoPict="0" macro="[0]!充電開始7">
                <anchor moveWithCells="1">
                  <from>
                    <xdr:col>11</xdr:col>
                    <xdr:colOff>25400</xdr:colOff>
                    <xdr:row>7</xdr:row>
                    <xdr:rowOff>25400</xdr:rowOff>
                  </from>
                  <to>
                    <xdr:col>12</xdr:col>
                    <xdr:colOff>25400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0" name="Button 39">
              <controlPr defaultSize="0" print="0" autoFill="0" autoPict="0" macro="[0]!返却8">
                <anchor moveWithCells="1">
                  <from>
                    <xdr:col>3</xdr:col>
                    <xdr:colOff>101600</xdr:colOff>
                    <xdr:row>8</xdr:row>
                    <xdr:rowOff>25400</xdr:rowOff>
                  </from>
                  <to>
                    <xdr:col>3</xdr:col>
                    <xdr:colOff>1054100</xdr:colOff>
                    <xdr:row>8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1" name="Button 40">
              <controlPr defaultSize="0" print="0" autoFill="0" autoPict="0" macro="[0]!BS貸出8">
                <anchor moveWithCells="1">
                  <from>
                    <xdr:col>2</xdr:col>
                    <xdr:colOff>101600</xdr:colOff>
                    <xdr:row>8</xdr:row>
                    <xdr:rowOff>25400</xdr:rowOff>
                  </from>
                  <to>
                    <xdr:col>2</xdr:col>
                    <xdr:colOff>1066800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2" name="Button 41">
              <controlPr defaultSize="0" print="0" autoFill="0" autoPict="0" macro="[0]!旧BS印刷8">
                <anchor moveWithCells="1">
                  <from>
                    <xdr:col>6</xdr:col>
                    <xdr:colOff>76200</xdr:colOff>
                    <xdr:row>8</xdr:row>
                    <xdr:rowOff>25400</xdr:rowOff>
                  </from>
                  <to>
                    <xdr:col>7</xdr:col>
                    <xdr:colOff>292100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3" name="Button 42">
              <controlPr defaultSize="0" print="0" autoFill="0" autoPict="0" macro="[0]!充電完了8">
                <anchor moveWithCells="1">
                  <from>
                    <xdr:col>12</xdr:col>
                    <xdr:colOff>127000</xdr:colOff>
                    <xdr:row>8</xdr:row>
                    <xdr:rowOff>25400</xdr:rowOff>
                  </from>
                  <to>
                    <xdr:col>13</xdr:col>
                    <xdr:colOff>838200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4" name="Button 43">
              <controlPr defaultSize="0" print="0" autoFill="0" autoPict="0" macro="[0]!充電開始8">
                <anchor moveWithCells="1">
                  <from>
                    <xdr:col>11</xdr:col>
                    <xdr:colOff>25400</xdr:colOff>
                    <xdr:row>8</xdr:row>
                    <xdr:rowOff>25400</xdr:rowOff>
                  </from>
                  <to>
                    <xdr:col>12</xdr:col>
                    <xdr:colOff>25400</xdr:colOff>
                    <xdr:row>8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CB15-0010-4EC5-AE26-90573C01B77D}">
  <sheetPr codeName="Sheet3">
    <tabColor rgb="FFFFC000"/>
  </sheetPr>
  <dimension ref="A1:O11"/>
  <sheetViews>
    <sheetView showZeros="0" zoomScale="157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0" sqref="B10"/>
    </sheetView>
  </sheetViews>
  <sheetFormatPr baseColWidth="10" defaultColWidth="8.796875" defaultRowHeight="24" customHeight="1"/>
  <cols>
    <col min="1" max="1" width="7.3984375" customWidth="1"/>
    <col min="2" max="6" width="16.796875" customWidth="1"/>
    <col min="7" max="7" width="9.19921875" customWidth="1"/>
    <col min="8" max="8" width="8.19921875" customWidth="1"/>
    <col min="9" max="9" width="9.19921875" bestFit="1" customWidth="1"/>
    <col min="10" max="11" width="13.19921875" bestFit="1" customWidth="1"/>
    <col min="12" max="12" width="10.3984375" customWidth="1"/>
  </cols>
  <sheetData>
    <row r="1" spans="1:15" ht="24" customHeight="1">
      <c r="A1" s="14"/>
      <c r="B1" s="1"/>
      <c r="C1" s="7" t="s">
        <v>4</v>
      </c>
      <c r="D1" s="7" t="s">
        <v>15</v>
      </c>
      <c r="E1" s="7" t="s">
        <v>1</v>
      </c>
      <c r="F1" s="7" t="s">
        <v>2</v>
      </c>
      <c r="G1" s="31"/>
      <c r="H1" s="31"/>
      <c r="I1" s="6" t="s">
        <v>9</v>
      </c>
      <c r="J1" s="6" t="s">
        <v>14</v>
      </c>
      <c r="K1" s="6" t="s">
        <v>13</v>
      </c>
      <c r="L1" s="6"/>
    </row>
    <row r="2" spans="1:15" ht="33" customHeight="1">
      <c r="A2" s="15"/>
      <c r="B2" s="84" t="s">
        <v>38</v>
      </c>
      <c r="C2" s="85"/>
      <c r="D2" s="86"/>
      <c r="E2" s="87"/>
      <c r="F2" s="46">
        <f>CEILING(IF(E2="",0,E2+30/24/60),"0:10")</f>
        <v>0</v>
      </c>
      <c r="G2" s="92"/>
      <c r="H2" s="92"/>
      <c r="I2" s="11"/>
      <c r="J2" s="13" t="str">
        <f t="shared" ref="J2:J9" si="0">IF(I2&gt;=6,"充電必要","")</f>
        <v/>
      </c>
      <c r="K2" s="36">
        <f>CEILING((M2+60/24/60),"0:10")</f>
        <v>4.1666666666666664E-2</v>
      </c>
      <c r="L2" s="37"/>
      <c r="M2" s="5"/>
      <c r="N2" s="5"/>
    </row>
    <row r="3" spans="1:15" ht="33" customHeight="1">
      <c r="A3" s="16" t="s">
        <v>0</v>
      </c>
      <c r="B3" s="84" t="s">
        <v>35</v>
      </c>
      <c r="C3" s="88"/>
      <c r="D3" s="88"/>
      <c r="E3" s="87"/>
      <c r="F3" s="46">
        <f t="shared" ref="F3:F9" si="1">CEILING(IF(E3="",0,E3+30/24/60),"0:10")</f>
        <v>0</v>
      </c>
      <c r="G3" s="92"/>
      <c r="H3" s="92"/>
      <c r="I3" s="11"/>
      <c r="J3" s="13" t="str">
        <f t="shared" si="0"/>
        <v/>
      </c>
      <c r="K3" s="36">
        <f t="shared" ref="K3:K9" si="2">CEILING((M3+60/24/60),"0:10")</f>
        <v>4.1666666666666664E-2</v>
      </c>
      <c r="L3" s="37"/>
      <c r="M3" s="5"/>
      <c r="N3" s="35"/>
    </row>
    <row r="4" spans="1:15" ht="33" customHeight="1">
      <c r="A4" s="17">
        <f ca="1">NOW()</f>
        <v>45315.918630555556</v>
      </c>
      <c r="B4" s="84" t="s">
        <v>36</v>
      </c>
      <c r="C4" s="89"/>
      <c r="D4" s="89"/>
      <c r="E4" s="87"/>
      <c r="F4" s="47">
        <f t="shared" si="1"/>
        <v>0</v>
      </c>
      <c r="G4" s="93"/>
      <c r="H4" s="93"/>
      <c r="I4" s="11"/>
      <c r="J4" s="13" t="str">
        <f t="shared" si="0"/>
        <v/>
      </c>
      <c r="K4" s="36">
        <f t="shared" si="2"/>
        <v>4.1666666666666664E-2</v>
      </c>
      <c r="L4" s="37"/>
      <c r="M4" s="5"/>
    </row>
    <row r="5" spans="1:15" ht="33" customHeight="1">
      <c r="A5" s="14"/>
      <c r="B5" s="90" t="s">
        <v>10</v>
      </c>
      <c r="C5" s="91"/>
      <c r="D5" s="91"/>
      <c r="E5" s="87"/>
      <c r="F5" s="46">
        <f>CEILING(IF(E5="",0,E5+30/24/60),"0:10")</f>
        <v>0</v>
      </c>
      <c r="G5" s="92"/>
      <c r="H5" s="92"/>
      <c r="I5" s="34"/>
      <c r="J5" s="13" t="str">
        <f>IF(I5&gt;=6,"充電必要","")</f>
        <v/>
      </c>
      <c r="K5" s="36">
        <f t="shared" si="2"/>
        <v>4.1666666666666664E-2</v>
      </c>
      <c r="L5" s="37"/>
      <c r="M5" s="5"/>
    </row>
    <row r="6" spans="1:15" ht="33" customHeight="1">
      <c r="B6" s="90" t="s">
        <v>44</v>
      </c>
      <c r="C6" s="91"/>
      <c r="D6" s="91"/>
      <c r="E6" s="87"/>
      <c r="F6" s="46">
        <f t="shared" si="1"/>
        <v>0</v>
      </c>
      <c r="G6" s="92"/>
      <c r="H6" s="92"/>
      <c r="I6" s="11"/>
      <c r="J6" s="13" t="str">
        <f t="shared" si="0"/>
        <v/>
      </c>
      <c r="K6" s="36">
        <f t="shared" si="2"/>
        <v>4.1666666666666664E-2</v>
      </c>
      <c r="L6" s="37"/>
      <c r="M6" s="5"/>
    </row>
    <row r="7" spans="1:15" ht="33" customHeight="1">
      <c r="B7" s="90" t="s">
        <v>11</v>
      </c>
      <c r="C7" s="91"/>
      <c r="D7" s="91"/>
      <c r="E7" s="87"/>
      <c r="F7" s="46">
        <f t="shared" si="1"/>
        <v>0</v>
      </c>
      <c r="G7" s="92"/>
      <c r="H7" s="92"/>
      <c r="I7" s="34"/>
      <c r="J7" s="13" t="str">
        <f t="shared" si="0"/>
        <v/>
      </c>
      <c r="K7" s="36">
        <f t="shared" si="2"/>
        <v>4.1666666666666664E-2</v>
      </c>
      <c r="L7" s="37"/>
      <c r="M7" s="5"/>
    </row>
    <row r="8" spans="1:15" ht="33" customHeight="1">
      <c r="B8" s="90" t="s">
        <v>22</v>
      </c>
      <c r="C8" s="91"/>
      <c r="D8" s="91"/>
      <c r="E8" s="87"/>
      <c r="F8" s="55">
        <f t="shared" si="1"/>
        <v>0</v>
      </c>
      <c r="G8" s="92"/>
      <c r="H8" s="92"/>
      <c r="I8" s="34"/>
      <c r="J8" s="13" t="str">
        <f t="shared" si="0"/>
        <v/>
      </c>
      <c r="K8" s="36">
        <f t="shared" si="2"/>
        <v>4.1666666666666664E-2</v>
      </c>
      <c r="L8" s="37"/>
      <c r="M8" s="5"/>
    </row>
    <row r="9" spans="1:15" ht="33" customHeight="1">
      <c r="B9" s="90" t="s">
        <v>23</v>
      </c>
      <c r="C9" s="91"/>
      <c r="D9" s="91"/>
      <c r="E9" s="87"/>
      <c r="F9" s="46">
        <f t="shared" si="1"/>
        <v>0</v>
      </c>
      <c r="G9" s="92"/>
      <c r="H9" s="92"/>
      <c r="I9" s="34"/>
      <c r="J9" s="13" t="str">
        <f t="shared" si="0"/>
        <v/>
      </c>
      <c r="K9" s="41">
        <f t="shared" si="2"/>
        <v>4.1666666666666664E-2</v>
      </c>
      <c r="L9" s="42"/>
      <c r="M9" s="43"/>
      <c r="N9" s="31"/>
      <c r="O9" s="31"/>
    </row>
    <row r="10" spans="1:15" ht="24" customHeight="1">
      <c r="C10" t="s">
        <v>39</v>
      </c>
      <c r="K10" s="6" t="s">
        <v>40</v>
      </c>
      <c r="L10" s="6"/>
    </row>
    <row r="11" spans="1:15" ht="24" customHeight="1">
      <c r="C11" t="s">
        <v>29</v>
      </c>
      <c r="K11" s="6" t="s">
        <v>32</v>
      </c>
      <c r="L11" s="6"/>
    </row>
  </sheetData>
  <phoneticPr fontId="1"/>
  <conditionalFormatting sqref="I2:I9">
    <cfRule type="cellIs" dxfId="2" priority="1" operator="greaterThan">
      <formula>5</formula>
    </cfRule>
  </conditionalFormatting>
  <pageMargins left="0.7" right="0.7" top="0.75" bottom="0.75" header="0.3" footer="0.3"/>
  <pageSetup paperSize="9" orientation="portrait" r:id="rId1"/>
  <ignoredErrors>
    <ignoredError sqref="F2:F9 J2:J4 K2:K9 J6:J9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返却1">
                <anchor moveWithCells="1">
                  <from>
                    <xdr:col>3</xdr:col>
                    <xdr:colOff>88900</xdr:colOff>
                    <xdr:row>1</xdr:row>
                    <xdr:rowOff>25400</xdr:rowOff>
                  </from>
                  <to>
                    <xdr:col>3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S貸出1">
                <anchor moveWithCells="1">
                  <from>
                    <xdr:col>2</xdr:col>
                    <xdr:colOff>88900</xdr:colOff>
                    <xdr:row>1</xdr:row>
                    <xdr:rowOff>25400</xdr:rowOff>
                  </from>
                  <to>
                    <xdr:col>2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BS貸出2">
                <anchor moveWithCells="1">
                  <from>
                    <xdr:col>2</xdr:col>
                    <xdr:colOff>88900</xdr:colOff>
                    <xdr:row>2</xdr:row>
                    <xdr:rowOff>25400</xdr:rowOff>
                  </from>
                  <to>
                    <xdr:col>2</xdr:col>
                    <xdr:colOff>1054100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BS貸出3">
                <anchor moveWithCells="1">
                  <from>
                    <xdr:col>2</xdr:col>
                    <xdr:colOff>88900</xdr:colOff>
                    <xdr:row>3</xdr:row>
                    <xdr:rowOff>25400</xdr:rowOff>
                  </from>
                  <to>
                    <xdr:col>2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BS貸出4">
                <anchor moveWithCells="1">
                  <from>
                    <xdr:col>2</xdr:col>
                    <xdr:colOff>88900</xdr:colOff>
                    <xdr:row>4</xdr:row>
                    <xdr:rowOff>25400</xdr:rowOff>
                  </from>
                  <to>
                    <xdr:col>2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BS貸出5">
                <anchor moveWithCells="1">
                  <from>
                    <xdr:col>2</xdr:col>
                    <xdr:colOff>88900</xdr:colOff>
                    <xdr:row>5</xdr:row>
                    <xdr:rowOff>25400</xdr:rowOff>
                  </from>
                  <to>
                    <xdr:col>2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BS貸出6">
                <anchor mov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2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Button 10">
              <controlPr defaultSize="0" print="0" autoFill="0" autoPict="0" macro="[0]!返却2">
                <anchor moveWithCells="1">
                  <from>
                    <xdr:col>3</xdr:col>
                    <xdr:colOff>88900</xdr:colOff>
                    <xdr:row>2</xdr:row>
                    <xdr:rowOff>12700</xdr:rowOff>
                  </from>
                  <to>
                    <xdr:col>3</xdr:col>
                    <xdr:colOff>1054100</xdr:colOff>
                    <xdr:row>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Button 11">
              <controlPr defaultSize="0" print="0" autoFill="0" autoPict="0" macro="[0]!返却3">
                <anchor moveWithCells="1">
                  <from>
                    <xdr:col>3</xdr:col>
                    <xdr:colOff>88900</xdr:colOff>
                    <xdr:row>3</xdr:row>
                    <xdr:rowOff>25400</xdr:rowOff>
                  </from>
                  <to>
                    <xdr:col>3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Button 12">
              <controlPr defaultSize="0" print="0" autoFill="0" autoPict="0" macro="[0]!返却4">
                <anchor moveWithCells="1">
                  <from>
                    <xdr:col>3</xdr:col>
                    <xdr:colOff>88900</xdr:colOff>
                    <xdr:row>4</xdr:row>
                    <xdr:rowOff>25400</xdr:rowOff>
                  </from>
                  <to>
                    <xdr:col>3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Button 13">
              <controlPr defaultSize="0" print="0" autoFill="0" autoPict="0" macro="[0]!返却5">
                <anchor moveWithCells="1">
                  <from>
                    <xdr:col>3</xdr:col>
                    <xdr:colOff>88900</xdr:colOff>
                    <xdr:row>5</xdr:row>
                    <xdr:rowOff>25400</xdr:rowOff>
                  </from>
                  <to>
                    <xdr:col>3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Button 14">
              <controlPr defaultSize="0" print="0" autoFill="0" autoPict="0" macro="[0]!返却6">
                <anchor mov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SD印刷1">
                <anchor moveWithCells="1">
                  <from>
                    <xdr:col>6</xdr:col>
                    <xdr:colOff>101600</xdr:colOff>
                    <xdr:row>1</xdr:row>
                    <xdr:rowOff>25400</xdr:rowOff>
                  </from>
                  <to>
                    <xdr:col>7</xdr:col>
                    <xdr:colOff>457200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7" name="Button 18">
              <controlPr defaultSize="0" print="0" autoFill="0" autoPict="0" macro="[0]!印刷1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457200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8" name="Button 19">
              <controlPr defaultSize="0" print="0" autoFill="0" autoPict="0" macro="[0]!SD印刷2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457200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9" name="Button 20">
              <controlPr defaultSize="0" print="0" autoFill="0" autoPict="0" macro="[0]!SD印刷3">
                <anchor moveWithCells="1">
                  <from>
                    <xdr:col>6</xdr:col>
                    <xdr:colOff>101600</xdr:colOff>
                    <xdr:row>3</xdr:row>
                    <xdr:rowOff>25400</xdr:rowOff>
                  </from>
                  <to>
                    <xdr:col>7</xdr:col>
                    <xdr:colOff>457200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0" name="Button 21">
              <controlPr defaultSize="0" print="0" autoFill="0" autoPict="0" macro="[0]!SD印刷4">
                <anchor moveWithCells="1">
                  <from>
                    <xdr:col>6</xdr:col>
                    <xdr:colOff>101600</xdr:colOff>
                    <xdr:row>4</xdr:row>
                    <xdr:rowOff>25400</xdr:rowOff>
                  </from>
                  <to>
                    <xdr:col>7</xdr:col>
                    <xdr:colOff>457200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1" name="Button 22">
              <controlPr defaultSize="0" print="0" autoFill="0" autoPict="0" macro="[0]!SD印刷5">
                <anchor moveWithCells="1">
                  <from>
                    <xdr:col>6</xdr:col>
                    <xdr:colOff>101600</xdr:colOff>
                    <xdr:row>5</xdr:row>
                    <xdr:rowOff>25400</xdr:rowOff>
                  </from>
                  <to>
                    <xdr:col>7</xdr:col>
                    <xdr:colOff>457200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2" name="Button 23">
              <controlPr defaultSize="0" print="0" autoFill="0" autoPict="0" macro="[0]!SD印刷6">
                <anchor moveWithCells="1">
                  <from>
                    <xdr:col>6</xdr:col>
                    <xdr:colOff>101600</xdr:colOff>
                    <xdr:row>6</xdr:row>
                    <xdr:rowOff>25400</xdr:rowOff>
                  </from>
                  <to>
                    <xdr:col>7</xdr:col>
                    <xdr:colOff>457200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3" name="Button 24">
              <controlPr defaultSize="0" print="0" autoFill="0" autoPict="0" macro="[0]!ALLクリアBS">
                <anchor moveWithCells="1">
                  <from>
                    <xdr:col>13</xdr:col>
                    <xdr:colOff>533400</xdr:colOff>
                    <xdr:row>1</xdr:row>
                    <xdr:rowOff>25400</xdr:rowOff>
                  </from>
                  <to>
                    <xdr:col>15</xdr:col>
                    <xdr:colOff>495300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4" name="Button 27">
              <controlPr defaultSize="0" print="0" autoFill="0" autoPict="0" macro="[0]!BS貸出7">
                <anchor moveWithCells="1">
                  <from>
                    <xdr:col>2</xdr:col>
                    <xdr:colOff>88900</xdr:colOff>
                    <xdr:row>7</xdr:row>
                    <xdr:rowOff>25400</xdr:rowOff>
                  </from>
                  <to>
                    <xdr:col>2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5" name="Button 28">
              <controlPr defaultSize="0" print="0" autoFill="0" autoPict="0" macro="[0]!返却7">
                <anchor moveWithCells="1">
                  <from>
                    <xdr:col>3</xdr:col>
                    <xdr:colOff>88900</xdr:colOff>
                    <xdr:row>7</xdr:row>
                    <xdr:rowOff>25400</xdr:rowOff>
                  </from>
                  <to>
                    <xdr:col>3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6" name="Button 29">
              <controlPr defaultSize="0" print="0" autoFill="0" autoPict="0" macro="[0]!SD印刷7">
                <anchor moveWithCells="1">
                  <from>
                    <xdr:col>6</xdr:col>
                    <xdr:colOff>101600</xdr:colOff>
                    <xdr:row>7</xdr:row>
                    <xdr:rowOff>25400</xdr:rowOff>
                  </from>
                  <to>
                    <xdr:col>7</xdr:col>
                    <xdr:colOff>457200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7" name="Button 30">
              <controlPr defaultSize="0" print="0" autoFill="0" autoPict="0" macro="[0]!BS貸出8">
                <anchor moveWithCells="1">
                  <from>
                    <xdr:col>2</xdr:col>
                    <xdr:colOff>88900</xdr:colOff>
                    <xdr:row>8</xdr:row>
                    <xdr:rowOff>25400</xdr:rowOff>
                  </from>
                  <to>
                    <xdr:col>2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8" name="Button 31">
              <controlPr defaultSize="0" print="0" autoFill="0" autoPict="0" macro="[0]!返却8">
                <anchor moveWithCells="1">
                  <from>
                    <xdr:col>3</xdr:col>
                    <xdr:colOff>88900</xdr:colOff>
                    <xdr:row>8</xdr:row>
                    <xdr:rowOff>25400</xdr:rowOff>
                  </from>
                  <to>
                    <xdr:col>3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9" name="Button 32">
              <controlPr defaultSize="0" print="0" autoFill="0" autoPict="0" macro="[0]!SD印刷8">
                <anchor moveWithCells="1">
                  <from>
                    <xdr:col>6</xdr:col>
                    <xdr:colOff>101600</xdr:colOff>
                    <xdr:row>8</xdr:row>
                    <xdr:rowOff>25400</xdr:rowOff>
                  </from>
                  <to>
                    <xdr:col>7</xdr:col>
                    <xdr:colOff>457200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30" name="Button 82">
              <controlPr defaultSize="0" print="0" autoFill="0" autoPict="0" macro="[0]!充電完了1">
                <anchor moveWithCells="1">
                  <from>
                    <xdr:col>12</xdr:col>
                    <xdr:colOff>50800</xdr:colOff>
                    <xdr:row>1</xdr:row>
                    <xdr:rowOff>25400</xdr:rowOff>
                  </from>
                  <to>
                    <xdr:col>13</xdr:col>
                    <xdr:colOff>381000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31" name="Button 83">
              <controlPr defaultSize="0" print="0" autoFill="0" autoPict="0" macro="[0]!充電完了2">
                <anchor moveWithCells="1">
                  <from>
                    <xdr:col>12</xdr:col>
                    <xdr:colOff>50800</xdr:colOff>
                    <xdr:row>2</xdr:row>
                    <xdr:rowOff>25400</xdr:rowOff>
                  </from>
                  <to>
                    <xdr:col>13</xdr:col>
                    <xdr:colOff>381000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32" name="Button 84">
              <controlPr defaultSize="0" print="0" autoFill="0" autoPict="0" macro="[0]!充電完了3">
                <anchor moveWithCells="1">
                  <from>
                    <xdr:col>12</xdr:col>
                    <xdr:colOff>50800</xdr:colOff>
                    <xdr:row>3</xdr:row>
                    <xdr:rowOff>25400</xdr:rowOff>
                  </from>
                  <to>
                    <xdr:col>13</xdr:col>
                    <xdr:colOff>381000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33" name="Button 85">
              <controlPr defaultSize="0" print="0" autoFill="0" autoPict="0" macro="[0]!充電完了4">
                <anchor moveWithCells="1">
                  <from>
                    <xdr:col>12</xdr:col>
                    <xdr:colOff>50800</xdr:colOff>
                    <xdr:row>4</xdr:row>
                    <xdr:rowOff>25400</xdr:rowOff>
                  </from>
                  <to>
                    <xdr:col>13</xdr:col>
                    <xdr:colOff>381000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34" name="Button 86">
              <controlPr defaultSize="0" print="0" autoFill="0" autoPict="0" macro="[0]!充電完了5">
                <anchor moveWithCells="1">
                  <from>
                    <xdr:col>12</xdr:col>
                    <xdr:colOff>50800</xdr:colOff>
                    <xdr:row>5</xdr:row>
                    <xdr:rowOff>25400</xdr:rowOff>
                  </from>
                  <to>
                    <xdr:col>13</xdr:col>
                    <xdr:colOff>381000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35" name="Button 87">
              <controlPr defaultSize="0" print="0" autoFill="0" autoPict="0" macro="[0]!充電完了6">
                <anchor moveWithCells="1">
                  <from>
                    <xdr:col>12</xdr:col>
                    <xdr:colOff>50800</xdr:colOff>
                    <xdr:row>6</xdr:row>
                    <xdr:rowOff>25400</xdr:rowOff>
                  </from>
                  <to>
                    <xdr:col>13</xdr:col>
                    <xdr:colOff>381000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36" name="Button 88">
              <controlPr defaultSize="0" print="0" autoFill="0" autoPict="0" macro="[0]!充電完了7">
                <anchor moveWithCells="1">
                  <from>
                    <xdr:col>12</xdr:col>
                    <xdr:colOff>50800</xdr:colOff>
                    <xdr:row>7</xdr:row>
                    <xdr:rowOff>25400</xdr:rowOff>
                  </from>
                  <to>
                    <xdr:col>13</xdr:col>
                    <xdr:colOff>381000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r:id="rId37" name="Button 89">
              <controlPr defaultSize="0" print="0" autoFill="0" autoPict="0" macro="[0]!充電完了8">
                <anchor moveWithCells="1">
                  <from>
                    <xdr:col>12</xdr:col>
                    <xdr:colOff>50800</xdr:colOff>
                    <xdr:row>8</xdr:row>
                    <xdr:rowOff>25400</xdr:rowOff>
                  </from>
                  <to>
                    <xdr:col>13</xdr:col>
                    <xdr:colOff>381000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38" name="Button 90">
              <controlPr defaultSize="0" print="0" autoFill="0" autoPict="0" macro="[0]!充電開始1">
                <anchor moveWithCells="1">
                  <from>
                    <xdr:col>11</xdr:col>
                    <xdr:colOff>50800</xdr:colOff>
                    <xdr:row>1</xdr:row>
                    <xdr:rowOff>25400</xdr:rowOff>
                  </from>
                  <to>
                    <xdr:col>11</xdr:col>
                    <xdr:colOff>647700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39" name="Button 91">
              <controlPr defaultSize="0" print="0" autoFill="0" autoPict="0" macro="[0]!充電開始2">
                <anchor mov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647700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40" name="Button 92">
              <controlPr defaultSize="0" print="0" autoFill="0" autoPict="0" macro="[0]!充電開始3">
                <anchor mov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647700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41" name="Button 93">
              <controlPr defaultSize="0" print="0" autoFill="0" autoPict="0" macro="[0]!充電開始4">
                <anchor mov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647700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r:id="rId42" name="Button 94">
              <controlPr defaultSize="0" print="0" autoFill="0" autoPict="0" macro="[0]!充電開始5">
                <anchor mov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647700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43" name="Button 95">
              <controlPr defaultSize="0" print="0" autoFill="0" autoPict="0" macro="[0]!充電開始6">
                <anchor mov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647700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r:id="rId44" name="Button 96">
              <controlPr defaultSize="0" print="0" autoFill="0" autoPict="0" macro="[0]!充電開始7">
                <anchor mov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647700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3" r:id="rId45" name="Button 97">
              <controlPr defaultSize="0" print="0" autoFill="0" autoPict="0" macro="[0]!充電開始8">
                <anchor mov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647700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46" name="Button 98">
              <controlPr defaultSize="0" print="0" autoFill="0" autoPict="0" macro="[0]!StopSD1">
                <anchor moveWithCells="1" siz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419100</xdr:colOff>
                    <xdr:row>1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47" name="Button 101">
              <controlPr defaultSize="0" print="0" autoFill="0" autoPict="0" macro="[0]!StopSD3">
                <anchor moveWithCells="1" sizeWithCells="1">
                  <from>
                    <xdr:col>0</xdr:col>
                    <xdr:colOff>12700</xdr:colOff>
                    <xdr:row>3</xdr:row>
                    <xdr:rowOff>25400</xdr:rowOff>
                  </from>
                  <to>
                    <xdr:col>0</xdr:col>
                    <xdr:colOff>419100</xdr:colOff>
                    <xdr:row>3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48" name="Button 102">
              <controlPr defaultSize="0" print="0" autoFill="0" autoPict="0" macro="[0]!StopSD4">
                <anchor moveWithCells="1" sizeWithCells="1">
                  <from>
                    <xdr:col>0</xdr:col>
                    <xdr:colOff>0</xdr:colOff>
                    <xdr:row>4</xdr:row>
                    <xdr:rowOff>25400</xdr:rowOff>
                  </from>
                  <to>
                    <xdr:col>0</xdr:col>
                    <xdr:colOff>419100</xdr:colOff>
                    <xdr:row>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49" name="Button 103">
              <controlPr defaultSize="0" print="0" autoFill="0" autoPict="0" macro="[0]!StopSD5">
                <anchor moveWithCells="1" sizeWithCells="1">
                  <from>
                    <xdr:col>0</xdr:col>
                    <xdr:colOff>0</xdr:colOff>
                    <xdr:row>5</xdr:row>
                    <xdr:rowOff>25400</xdr:rowOff>
                  </from>
                  <to>
                    <xdr:col>0</xdr:col>
                    <xdr:colOff>419100</xdr:colOff>
                    <xdr:row>5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50" name="Button 104">
              <controlPr defaultSize="0" print="0" autoFill="0" autoPict="0" macro="[0]!stopSD6">
                <anchor moveWithCells="1" sizeWithCells="1">
                  <from>
                    <xdr:col>0</xdr:col>
                    <xdr:colOff>0</xdr:colOff>
                    <xdr:row>6</xdr:row>
                    <xdr:rowOff>25400</xdr:rowOff>
                  </from>
                  <to>
                    <xdr:col>0</xdr:col>
                    <xdr:colOff>419100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51" name="Button 105">
              <controlPr defaultSize="0" print="0" autoFill="0" autoPict="0" macro="[0]!stopSD7">
                <anchor moveWithCells="1" sizeWithCells="1">
                  <from>
                    <xdr:col>0</xdr:col>
                    <xdr:colOff>0</xdr:colOff>
                    <xdr:row>7</xdr:row>
                    <xdr:rowOff>25400</xdr:rowOff>
                  </from>
                  <to>
                    <xdr:col>0</xdr:col>
                    <xdr:colOff>419100</xdr:colOff>
                    <xdr:row>7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52" name="Button 106">
              <controlPr defaultSize="0" print="0" autoFill="0" autoPict="0" macro="[0]!stopSD8">
                <anchor moveWithCells="1" sizeWithCells="1">
                  <from>
                    <xdr:col>0</xdr:col>
                    <xdr:colOff>0</xdr:colOff>
                    <xdr:row>8</xdr:row>
                    <xdr:rowOff>25400</xdr:rowOff>
                  </from>
                  <to>
                    <xdr:col>0</xdr:col>
                    <xdr:colOff>419100</xdr:colOff>
                    <xdr:row>8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53" name="Button 107">
              <controlPr defaultSize="0" print="0" autoFill="0" autoPict="0" macro="[0]!StopSD2">
                <anchor moveWithCells="1" sizeWithCells="1">
                  <from>
                    <xdr:col>0</xdr:col>
                    <xdr:colOff>12700</xdr:colOff>
                    <xdr:row>2</xdr:row>
                    <xdr:rowOff>25400</xdr:rowOff>
                  </from>
                  <to>
                    <xdr:col>0</xdr:col>
                    <xdr:colOff>419100</xdr:colOff>
                    <xdr:row>2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R15"/>
  <sheetViews>
    <sheetView showZeros="0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ColWidth="8.796875" defaultRowHeight="24" customHeight="1"/>
  <cols>
    <col min="1" max="1" width="7.796875" customWidth="1"/>
    <col min="2" max="6" width="16.796875" customWidth="1"/>
    <col min="12" max="12" width="9.796875" bestFit="1" customWidth="1"/>
    <col min="15" max="15" width="9.796875" bestFit="1" customWidth="1"/>
  </cols>
  <sheetData>
    <row r="1" spans="1:18" ht="24" customHeight="1">
      <c r="A1" s="14"/>
      <c r="B1" s="1" t="s">
        <v>34</v>
      </c>
      <c r="C1" s="7" t="s">
        <v>4</v>
      </c>
      <c r="D1" s="7" t="s">
        <v>12</v>
      </c>
      <c r="E1" s="7" t="s">
        <v>1</v>
      </c>
      <c r="F1" s="7" t="s">
        <v>2</v>
      </c>
    </row>
    <row r="2" spans="1:18" ht="33" customHeight="1">
      <c r="A2" s="15"/>
      <c r="B2" s="9" t="s">
        <v>5</v>
      </c>
      <c r="C2" s="2"/>
      <c r="D2" s="4"/>
      <c r="E2" s="8"/>
      <c r="F2" s="12">
        <f>CEILING(IF(E2="",0,E2+40/24/60),"0:10")</f>
        <v>0</v>
      </c>
      <c r="L2" s="5"/>
      <c r="R2" s="5"/>
    </row>
    <row r="3" spans="1:18" ht="33" customHeight="1">
      <c r="A3" s="16" t="s">
        <v>0</v>
      </c>
      <c r="B3" s="10" t="s">
        <v>6</v>
      </c>
      <c r="C3" s="1"/>
      <c r="D3" s="1"/>
      <c r="E3" s="8"/>
      <c r="F3" s="12">
        <f t="shared" ref="F3:F9" si="0">CEILING(IF(E3="",0,E3+40/24/60),"0:10")</f>
        <v>0</v>
      </c>
      <c r="L3" s="5"/>
    </row>
    <row r="4" spans="1:18" ht="33" customHeight="1">
      <c r="A4" s="17">
        <f ca="1">NOW()</f>
        <v>45315.918630555556</v>
      </c>
      <c r="B4" s="10" t="s">
        <v>7</v>
      </c>
      <c r="C4" s="3"/>
      <c r="D4" s="3"/>
      <c r="E4" s="8"/>
      <c r="F4" s="12">
        <f t="shared" si="0"/>
        <v>0</v>
      </c>
      <c r="O4" s="5"/>
    </row>
    <row r="5" spans="1:18" ht="33" customHeight="1">
      <c r="A5" s="30"/>
      <c r="B5" s="9" t="s">
        <v>8</v>
      </c>
      <c r="C5" s="33"/>
      <c r="D5" s="33"/>
      <c r="E5" s="32"/>
      <c r="F5" s="12">
        <f t="shared" si="0"/>
        <v>0</v>
      </c>
      <c r="G5" s="29"/>
      <c r="H5" s="28"/>
      <c r="I5" s="27"/>
      <c r="J5" s="27"/>
      <c r="O5" s="5"/>
    </row>
    <row r="6" spans="1:18" ht="33" customHeight="1">
      <c r="B6" s="10" t="s">
        <v>19</v>
      </c>
      <c r="C6" s="3"/>
      <c r="D6" s="3"/>
      <c r="E6" s="8"/>
      <c r="F6" s="12">
        <f t="shared" si="0"/>
        <v>0</v>
      </c>
      <c r="O6" s="5"/>
    </row>
    <row r="7" spans="1:18" ht="33" customHeight="1">
      <c r="B7" s="10" t="s">
        <v>20</v>
      </c>
      <c r="C7" s="3"/>
      <c r="D7" s="3"/>
      <c r="E7" s="8"/>
      <c r="F7" s="12">
        <f t="shared" si="0"/>
        <v>0</v>
      </c>
      <c r="O7" s="5"/>
    </row>
    <row r="8" spans="1:18" ht="33" customHeight="1">
      <c r="B8" s="10" t="s">
        <v>33</v>
      </c>
      <c r="C8" s="3"/>
      <c r="D8" s="3"/>
      <c r="E8" s="8"/>
      <c r="F8" s="12">
        <f t="shared" si="0"/>
        <v>0</v>
      </c>
      <c r="O8" s="5"/>
    </row>
    <row r="9" spans="1:18" ht="33" customHeight="1">
      <c r="B9" s="10" t="s">
        <v>21</v>
      </c>
      <c r="C9" s="3"/>
      <c r="D9" s="3"/>
      <c r="E9" s="8"/>
      <c r="F9" s="12">
        <f t="shared" si="0"/>
        <v>0</v>
      </c>
      <c r="O9" s="5"/>
    </row>
    <row r="10" spans="1:18" ht="33" customHeight="1">
      <c r="A10" s="23"/>
      <c r="B10" s="24" t="s">
        <v>24</v>
      </c>
      <c r="C10" s="25"/>
      <c r="D10" s="25"/>
      <c r="E10" s="26"/>
      <c r="F10" s="26" t="str">
        <f>IF(E10="","",E10+40/24/60)</f>
        <v/>
      </c>
      <c r="G10" s="23"/>
      <c r="H10" s="23"/>
      <c r="I10" s="23"/>
      <c r="J10" s="23"/>
    </row>
    <row r="11" spans="1:18" ht="33.75" customHeight="1">
      <c r="A11" s="23"/>
      <c r="B11" s="24" t="s">
        <v>25</v>
      </c>
      <c r="C11" s="25"/>
      <c r="D11" s="25"/>
      <c r="E11" s="26"/>
      <c r="F11" s="26" t="str">
        <f>IF(E11="","",E11+40/24/60)</f>
        <v/>
      </c>
      <c r="G11" s="23"/>
      <c r="H11" s="23"/>
      <c r="I11" s="23"/>
      <c r="J11" s="23"/>
    </row>
    <row r="12" spans="1:18" ht="33" customHeight="1">
      <c r="A12" s="23"/>
      <c r="B12" s="24" t="s">
        <v>26</v>
      </c>
      <c r="C12" s="25"/>
      <c r="D12" s="25"/>
      <c r="E12" s="26"/>
      <c r="F12" s="26" t="str">
        <f>IF(E12="","",E12+40/24/60)</f>
        <v/>
      </c>
      <c r="G12" s="23"/>
      <c r="H12" s="23"/>
      <c r="I12" s="23"/>
      <c r="J12" s="23"/>
    </row>
    <row r="13" spans="1:18" ht="24" customHeight="1">
      <c r="F13" t="s">
        <v>27</v>
      </c>
    </row>
    <row r="14" spans="1:18" ht="24" customHeight="1">
      <c r="F14" t="s">
        <v>28</v>
      </c>
    </row>
    <row r="15" spans="1:18" ht="24" customHeight="1">
      <c r="F15" t="s">
        <v>30</v>
      </c>
    </row>
  </sheetData>
  <phoneticPr fontId="1"/>
  <pageMargins left="0.7" right="0.7" top="0.75" bottom="0.75" header="0.3" footer="0.3"/>
  <pageSetup paperSize="9" orientation="portrait" r:id="rId1"/>
  <ignoredErrors>
    <ignoredError sqref="F2:F9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返却1">
                <anchor moveWithCells="1">
                  <from>
                    <xdr:col>3</xdr:col>
                    <xdr:colOff>88900</xdr:colOff>
                    <xdr:row>1</xdr:row>
                    <xdr:rowOff>25400</xdr:rowOff>
                  </from>
                  <to>
                    <xdr:col>3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KA貸出1">
                <anchor moveWithCells="1">
                  <from>
                    <xdr:col>2</xdr:col>
                    <xdr:colOff>88900</xdr:colOff>
                    <xdr:row>1</xdr:row>
                    <xdr:rowOff>25400</xdr:rowOff>
                  </from>
                  <to>
                    <xdr:col>2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KA貸出2">
                <anchor moveWithCells="1">
                  <from>
                    <xdr:col>2</xdr:col>
                    <xdr:colOff>88900</xdr:colOff>
                    <xdr:row>2</xdr:row>
                    <xdr:rowOff>25400</xdr:rowOff>
                  </from>
                  <to>
                    <xdr:col>2</xdr:col>
                    <xdr:colOff>1054100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A貸出3">
                <anchor moveWithCells="1">
                  <from>
                    <xdr:col>2</xdr:col>
                    <xdr:colOff>88900</xdr:colOff>
                    <xdr:row>3</xdr:row>
                    <xdr:rowOff>25400</xdr:rowOff>
                  </from>
                  <to>
                    <xdr:col>2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KA貸出4">
                <anchor moveWithCells="1">
                  <from>
                    <xdr:col>2</xdr:col>
                    <xdr:colOff>88900</xdr:colOff>
                    <xdr:row>4</xdr:row>
                    <xdr:rowOff>25400</xdr:rowOff>
                  </from>
                  <to>
                    <xdr:col>2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KA貸出5">
                <anchor moveWithCells="1">
                  <from>
                    <xdr:col>2</xdr:col>
                    <xdr:colOff>88900</xdr:colOff>
                    <xdr:row>5</xdr:row>
                    <xdr:rowOff>25400</xdr:rowOff>
                  </from>
                  <to>
                    <xdr:col>2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KA貸出6">
                <anchor mov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2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KA貸出7">
                <anchor moveWithCells="1">
                  <from>
                    <xdr:col>2</xdr:col>
                    <xdr:colOff>88900</xdr:colOff>
                    <xdr:row>7</xdr:row>
                    <xdr:rowOff>25400</xdr:rowOff>
                  </from>
                  <to>
                    <xdr:col>2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KA貸出8">
                <anchor moveWithCells="1">
                  <from>
                    <xdr:col>2</xdr:col>
                    <xdr:colOff>88900</xdr:colOff>
                    <xdr:row>8</xdr:row>
                    <xdr:rowOff>25400</xdr:rowOff>
                  </from>
                  <to>
                    <xdr:col>2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返却2">
                <anchor moveWithCells="1">
                  <from>
                    <xdr:col>3</xdr:col>
                    <xdr:colOff>88900</xdr:colOff>
                    <xdr:row>2</xdr:row>
                    <xdr:rowOff>25400</xdr:rowOff>
                  </from>
                  <to>
                    <xdr:col>3</xdr:col>
                    <xdr:colOff>1054100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Button 18">
              <controlPr defaultSize="0" print="0" autoFill="0" autoPict="0" macro="[0]!返却3">
                <anchor moveWithCells="1">
                  <from>
                    <xdr:col>3</xdr:col>
                    <xdr:colOff>88900</xdr:colOff>
                    <xdr:row>3</xdr:row>
                    <xdr:rowOff>25400</xdr:rowOff>
                  </from>
                  <to>
                    <xdr:col>3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Button 19">
              <controlPr defaultSize="0" print="0" autoFill="0" autoPict="0" macro="[0]!返却4">
                <anchor moveWithCells="1">
                  <from>
                    <xdr:col>3</xdr:col>
                    <xdr:colOff>88900</xdr:colOff>
                    <xdr:row>4</xdr:row>
                    <xdr:rowOff>25400</xdr:rowOff>
                  </from>
                  <to>
                    <xdr:col>3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Button 20">
              <controlPr defaultSize="0" print="0" autoFill="0" autoPict="0" macro="[0]!返却5">
                <anchor moveWithCells="1">
                  <from>
                    <xdr:col>3</xdr:col>
                    <xdr:colOff>88900</xdr:colOff>
                    <xdr:row>5</xdr:row>
                    <xdr:rowOff>25400</xdr:rowOff>
                  </from>
                  <to>
                    <xdr:col>3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Button 21">
              <controlPr defaultSize="0" print="0" autoFill="0" autoPict="0" macro="[0]!返却6">
                <anchor mov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返却7">
                <anchor moveWithCells="1">
                  <from>
                    <xdr:col>3</xdr:col>
                    <xdr:colOff>88900</xdr:colOff>
                    <xdr:row>7</xdr:row>
                    <xdr:rowOff>25400</xdr:rowOff>
                  </from>
                  <to>
                    <xdr:col>3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Button 24">
              <controlPr defaultSize="0" print="0" autoFill="0" autoPict="0" macro="[0]!返却8">
                <anchor moveWithCells="1">
                  <from>
                    <xdr:col>3</xdr:col>
                    <xdr:colOff>88900</xdr:colOff>
                    <xdr:row>8</xdr:row>
                    <xdr:rowOff>25400</xdr:rowOff>
                  </from>
                  <to>
                    <xdr:col>3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Button 29">
              <controlPr defaultSize="0" print="0" autoFill="0" autoPict="0" macro="[0]!KA印刷1">
                <anchor moveWithCells="1">
                  <from>
                    <xdr:col>6</xdr:col>
                    <xdr:colOff>101600</xdr:colOff>
                    <xdr:row>1</xdr:row>
                    <xdr:rowOff>25400</xdr:rowOff>
                  </from>
                  <to>
                    <xdr:col>7</xdr:col>
                    <xdr:colOff>482600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印刷1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482600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Button 31">
              <controlPr defaultSize="0" print="0" autoFill="0" autoPict="0" macro="[0]!KA印刷2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482600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Button 32">
              <controlPr defaultSize="0" print="0" autoFill="0" autoPict="0" macro="[0]!KA印刷3">
                <anchor moveWithCells="1">
                  <from>
                    <xdr:col>6</xdr:col>
                    <xdr:colOff>101600</xdr:colOff>
                    <xdr:row>3</xdr:row>
                    <xdr:rowOff>25400</xdr:rowOff>
                  </from>
                  <to>
                    <xdr:col>7</xdr:col>
                    <xdr:colOff>482600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Button 33">
              <controlPr defaultSize="0" print="0" autoFill="0" autoPict="0" macro="[0]!KA印刷4">
                <anchor moveWithCells="1">
                  <from>
                    <xdr:col>6</xdr:col>
                    <xdr:colOff>101600</xdr:colOff>
                    <xdr:row>4</xdr:row>
                    <xdr:rowOff>25400</xdr:rowOff>
                  </from>
                  <to>
                    <xdr:col>7</xdr:col>
                    <xdr:colOff>482600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" name="Button 34">
              <controlPr defaultSize="0" print="0" autoFill="0" autoPict="0" macro="[0]!KA印刷5">
                <anchor moveWithCells="1">
                  <from>
                    <xdr:col>6</xdr:col>
                    <xdr:colOff>101600</xdr:colOff>
                    <xdr:row>5</xdr:row>
                    <xdr:rowOff>25400</xdr:rowOff>
                  </from>
                  <to>
                    <xdr:col>7</xdr:col>
                    <xdr:colOff>482600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6" name="Button 35">
              <controlPr defaultSize="0" print="0" autoFill="0" autoPict="0" macro="[0]!KA印刷6">
                <anchor moveWithCells="1">
                  <from>
                    <xdr:col>6</xdr:col>
                    <xdr:colOff>101600</xdr:colOff>
                    <xdr:row>6</xdr:row>
                    <xdr:rowOff>25400</xdr:rowOff>
                  </from>
                  <to>
                    <xdr:col>7</xdr:col>
                    <xdr:colOff>482600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7" name="Button 36">
              <controlPr defaultSize="0" print="0" autoFill="0" autoPict="0" macro="[0]!KA印刷7">
                <anchor moveWithCells="1">
                  <from>
                    <xdr:col>6</xdr:col>
                    <xdr:colOff>101600</xdr:colOff>
                    <xdr:row>7</xdr:row>
                    <xdr:rowOff>25400</xdr:rowOff>
                  </from>
                  <to>
                    <xdr:col>7</xdr:col>
                    <xdr:colOff>482600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8" name="Button 37">
              <controlPr defaultSize="0" print="0" autoFill="0" autoPict="0" macro="[0]!KA印刷8">
                <anchor moveWithCells="1">
                  <from>
                    <xdr:col>6</xdr:col>
                    <xdr:colOff>101600</xdr:colOff>
                    <xdr:row>8</xdr:row>
                    <xdr:rowOff>25400</xdr:rowOff>
                  </from>
                  <to>
                    <xdr:col>7</xdr:col>
                    <xdr:colOff>482600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9" name="Button 38">
              <controlPr defaultSize="0" print="0" autoFill="0" autoPict="0" macro="[0]!ALLクリアSD_KA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546100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0" name="Button 59">
              <controlPr defaultSize="0" print="0" autoFill="0" autoPict="0" macro="[0]!KA貸出9">
                <anchor moveWithCells="1">
                  <from>
                    <xdr:col>2</xdr:col>
                    <xdr:colOff>88900</xdr:colOff>
                    <xdr:row>9</xdr:row>
                    <xdr:rowOff>25400</xdr:rowOff>
                  </from>
                  <to>
                    <xdr:col>2</xdr:col>
                    <xdr:colOff>1054100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1" name="Button 60">
              <controlPr defaultSize="0" print="0" autoFill="0" autoPict="0" macro="[0]!返却9">
                <anchor moveWithCells="1">
                  <from>
                    <xdr:col>3</xdr:col>
                    <xdr:colOff>88900</xdr:colOff>
                    <xdr:row>9</xdr:row>
                    <xdr:rowOff>25400</xdr:rowOff>
                  </from>
                  <to>
                    <xdr:col>3</xdr:col>
                    <xdr:colOff>1054100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2" name="Button 61">
              <controlPr defaultSize="0" print="0" autoFill="0" autoPict="0" macro="[0]!KA印刷9">
                <anchor moveWithCells="1">
                  <from>
                    <xdr:col>6</xdr:col>
                    <xdr:colOff>101600</xdr:colOff>
                    <xdr:row>9</xdr:row>
                    <xdr:rowOff>25400</xdr:rowOff>
                  </from>
                  <to>
                    <xdr:col>7</xdr:col>
                    <xdr:colOff>482600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3" name="Button 62">
              <controlPr defaultSize="0" print="0" autoFill="0" autoPict="0" macro="[0]!KA貸出10">
                <anchor moveWithCells="1">
                  <from>
                    <xdr:col>2</xdr:col>
                    <xdr:colOff>88900</xdr:colOff>
                    <xdr:row>10</xdr:row>
                    <xdr:rowOff>25400</xdr:rowOff>
                  </from>
                  <to>
                    <xdr:col>2</xdr:col>
                    <xdr:colOff>1054100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34" name="Button 63">
              <controlPr defaultSize="0" print="0" autoFill="0" autoPict="0" macro="[0]!返却10">
                <anchor moveWithCells="1">
                  <from>
                    <xdr:col>3</xdr:col>
                    <xdr:colOff>88900</xdr:colOff>
                    <xdr:row>10</xdr:row>
                    <xdr:rowOff>25400</xdr:rowOff>
                  </from>
                  <to>
                    <xdr:col>3</xdr:col>
                    <xdr:colOff>1054100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35" name="Button 64">
              <controlPr defaultSize="0" print="0" autoFill="0" autoPict="0" macro="[0]!KA印刷10">
                <anchor moveWithCells="1">
                  <from>
                    <xdr:col>6</xdr:col>
                    <xdr:colOff>101600</xdr:colOff>
                    <xdr:row>10</xdr:row>
                    <xdr:rowOff>25400</xdr:rowOff>
                  </from>
                  <to>
                    <xdr:col>7</xdr:col>
                    <xdr:colOff>482600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36" name="Button 65">
              <controlPr defaultSize="0" print="0" autoFill="0" autoPict="0" macro="[0]!KA貸出11">
                <anchor moveWithCells="1">
                  <from>
                    <xdr:col>2</xdr:col>
                    <xdr:colOff>88900</xdr:colOff>
                    <xdr:row>11</xdr:row>
                    <xdr:rowOff>25400</xdr:rowOff>
                  </from>
                  <to>
                    <xdr:col>2</xdr:col>
                    <xdr:colOff>1054100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37" name="Button 66">
              <controlPr defaultSize="0" print="0" autoFill="0" autoPict="0" macro="[0]!返却11">
                <anchor moveWithCells="1">
                  <from>
                    <xdr:col>3</xdr:col>
                    <xdr:colOff>88900</xdr:colOff>
                    <xdr:row>11</xdr:row>
                    <xdr:rowOff>25400</xdr:rowOff>
                  </from>
                  <to>
                    <xdr:col>3</xdr:col>
                    <xdr:colOff>1054100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38" name="Button 67">
              <controlPr defaultSize="0" print="0" autoFill="0" autoPict="0" macro="[0]!KA印刷11">
                <anchor moveWithCells="1">
                  <from>
                    <xdr:col>6</xdr:col>
                    <xdr:colOff>101600</xdr:colOff>
                    <xdr:row>11</xdr:row>
                    <xdr:rowOff>25400</xdr:rowOff>
                  </from>
                  <to>
                    <xdr:col>7</xdr:col>
                    <xdr:colOff>482600</xdr:colOff>
                    <xdr:row>11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1857B-8AF8-4D8A-BD59-93CB6AA118F0}">
  <sheetPr codeName="Sheet4"/>
  <dimension ref="A2:A7"/>
  <sheetViews>
    <sheetView view="pageBreakPreview" zoomScaleNormal="100" zoomScaleSheetLayoutView="100" workbookViewId="0">
      <selection activeCell="A3" sqref="A3:A4"/>
    </sheetView>
  </sheetViews>
  <sheetFormatPr baseColWidth="10" defaultColWidth="8.796875" defaultRowHeight="12" customHeight="1"/>
  <cols>
    <col min="1" max="1" width="29.796875" customWidth="1"/>
  </cols>
  <sheetData>
    <row r="2" spans="1:1" ht="21.75" customHeight="1">
      <c r="A2" s="18" t="s">
        <v>3</v>
      </c>
    </row>
    <row r="3" spans="1:1" ht="27" customHeight="1">
      <c r="A3" s="19"/>
    </row>
    <row r="4" spans="1:1" ht="32.25" customHeight="1">
      <c r="A4" s="20"/>
    </row>
    <row r="5" spans="1:1" ht="14"/>
    <row r="6" spans="1:1" ht="14">
      <c r="A6" s="6"/>
    </row>
    <row r="7" spans="1:1" ht="14">
      <c r="A7" s="22" t="s">
        <v>16</v>
      </c>
    </row>
  </sheetData>
  <phoneticPr fontId="1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2DB18-22CF-468D-924E-BD4AAE854344}">
  <sheetPr codeName="Sheet5"/>
  <dimension ref="A2:A11"/>
  <sheetViews>
    <sheetView view="pageBreakPreview" zoomScaleNormal="100" zoomScaleSheetLayoutView="100" workbookViewId="0">
      <selection activeCell="A3" sqref="A3"/>
    </sheetView>
  </sheetViews>
  <sheetFormatPr baseColWidth="10" defaultColWidth="8.796875" defaultRowHeight="14"/>
  <cols>
    <col min="1" max="1" width="31.796875" customWidth="1"/>
  </cols>
  <sheetData>
    <row r="2" spans="1:1" ht="21.75" customHeight="1">
      <c r="A2" s="18" t="s">
        <v>3</v>
      </c>
    </row>
    <row r="3" spans="1:1" ht="27" customHeight="1">
      <c r="A3" s="19"/>
    </row>
    <row r="4" spans="1:1" ht="32.25" customHeight="1">
      <c r="A4" s="20"/>
    </row>
    <row r="6" spans="1:1">
      <c r="A6" s="21" t="s">
        <v>16</v>
      </c>
    </row>
    <row r="7" spans="1:1">
      <c r="A7" s="94" t="s">
        <v>18</v>
      </c>
    </row>
    <row r="8" spans="1:1">
      <c r="A8" s="94"/>
    </row>
    <row r="9" spans="1:1">
      <c r="A9" s="22"/>
    </row>
    <row r="10" spans="1:1">
      <c r="A10" s="94" t="s">
        <v>17</v>
      </c>
    </row>
    <row r="11" spans="1:1">
      <c r="A11" s="94"/>
    </row>
  </sheetData>
  <mergeCells count="2">
    <mergeCell ref="A7:A8"/>
    <mergeCell ref="A10:A11"/>
  </mergeCells>
  <phoneticPr fontId="1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C4DCF-A6C5-46FC-90FE-3D9FEB6D2894}">
  <sheetPr codeName="Sheet2">
    <tabColor rgb="FF00B050"/>
  </sheetPr>
  <dimension ref="A1:T19"/>
  <sheetViews>
    <sheetView showZeros="0" tabSelected="1" zoomScale="222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8.796875" defaultRowHeight="24" customHeight="1"/>
  <cols>
    <col min="1" max="1" width="11" customWidth="1"/>
    <col min="2" max="6" width="16.796875" customWidth="1"/>
    <col min="7" max="7" width="8.796875" customWidth="1"/>
    <col min="8" max="8" width="7.796875" customWidth="1"/>
    <col min="9" max="9" width="10.3984375" customWidth="1"/>
    <col min="10" max="10" width="13.19921875" style="6" bestFit="1" customWidth="1"/>
    <col min="11" max="11" width="13.796875" style="6" customWidth="1"/>
    <col min="12" max="12" width="10.19921875" style="6" customWidth="1"/>
    <col min="13" max="13" width="1" customWidth="1"/>
    <col min="14" max="14" width="6" customWidth="1"/>
  </cols>
  <sheetData>
    <row r="1" spans="1:20" ht="30">
      <c r="A1" s="61"/>
      <c r="B1" s="60" t="s">
        <v>65</v>
      </c>
      <c r="C1" s="40" t="s">
        <v>4</v>
      </c>
      <c r="D1" s="40" t="s">
        <v>12</v>
      </c>
      <c r="E1" s="40" t="s">
        <v>1</v>
      </c>
      <c r="F1" s="40" t="s">
        <v>2</v>
      </c>
      <c r="I1" s="7" t="s">
        <v>9</v>
      </c>
      <c r="J1" s="7" t="s">
        <v>14</v>
      </c>
      <c r="K1" s="6" t="s">
        <v>13</v>
      </c>
    </row>
    <row r="2" spans="1:20" ht="33" customHeight="1">
      <c r="A2" s="74"/>
      <c r="B2" s="79" t="s">
        <v>46</v>
      </c>
      <c r="C2" s="81"/>
      <c r="D2" s="82"/>
      <c r="E2" s="83"/>
      <c r="F2" s="47">
        <f>CEILING(IF(E2="",0,E2+30/24/60),"0:10")</f>
        <v>0</v>
      </c>
      <c r="G2" s="51"/>
      <c r="H2" s="51"/>
      <c r="I2" s="52"/>
      <c r="J2" s="13" t="str">
        <f>IF(I2&gt;=4,"充電必要","")</f>
        <v/>
      </c>
      <c r="K2" s="36">
        <f>CEILING((M2+60/24/30),"0:10")</f>
        <v>8.3333333333333329E-2</v>
      </c>
      <c r="L2" s="37"/>
      <c r="M2" s="5"/>
      <c r="N2" s="5"/>
    </row>
    <row r="3" spans="1:20" s="31" customFormat="1" ht="33" customHeight="1">
      <c r="A3"/>
      <c r="B3" s="79" t="s">
        <v>43</v>
      </c>
      <c r="C3" s="53"/>
      <c r="D3" s="53"/>
      <c r="E3" s="54"/>
      <c r="F3" s="47">
        <f t="shared" ref="F3:F9" si="0">CEILING(IF(E3="",0,E3+30/24/60),"0:10")</f>
        <v>0</v>
      </c>
      <c r="G3" s="51"/>
      <c r="H3" s="51"/>
      <c r="I3" s="52"/>
      <c r="J3" s="13" t="str">
        <f t="shared" ref="J3:J17" si="1">IF(I3&gt;=4,"充電必要","")</f>
        <v/>
      </c>
      <c r="K3" s="36">
        <f t="shared" ref="K3:K9" si="2">CEILING((M3+60/24/30),"0:10")</f>
        <v>8.3333333333333329E-2</v>
      </c>
      <c r="L3" s="37"/>
      <c r="M3" s="5"/>
      <c r="N3" s="35"/>
      <c r="O3"/>
      <c r="P3"/>
      <c r="Q3"/>
      <c r="R3"/>
      <c r="S3"/>
      <c r="T3"/>
    </row>
    <row r="4" spans="1:20" s="38" customFormat="1" ht="33" customHeight="1">
      <c r="A4" s="75"/>
      <c r="B4" s="79" t="s">
        <v>42</v>
      </c>
      <c r="C4" s="3"/>
      <c r="D4" s="3"/>
      <c r="E4" s="45"/>
      <c r="F4" s="47">
        <f t="shared" si="0"/>
        <v>0</v>
      </c>
      <c r="G4"/>
      <c r="H4"/>
      <c r="I4" s="11"/>
      <c r="J4" s="13" t="str">
        <f t="shared" si="1"/>
        <v/>
      </c>
      <c r="K4" s="36">
        <f t="shared" si="2"/>
        <v>8.3333333333333329E-2</v>
      </c>
      <c r="L4" s="37"/>
      <c r="M4" s="5"/>
      <c r="N4"/>
      <c r="O4"/>
      <c r="P4"/>
      <c r="Q4"/>
      <c r="R4"/>
      <c r="S4"/>
      <c r="T4"/>
    </row>
    <row r="5" spans="1:20" ht="33" customHeight="1">
      <c r="B5" s="79" t="s">
        <v>41</v>
      </c>
      <c r="C5" s="39"/>
      <c r="D5" s="33"/>
      <c r="E5" s="48"/>
      <c r="F5" s="47">
        <f t="shared" si="0"/>
        <v>0</v>
      </c>
      <c r="G5" s="31"/>
      <c r="H5" s="31"/>
      <c r="I5" s="11"/>
      <c r="J5" s="13" t="str">
        <f t="shared" si="1"/>
        <v/>
      </c>
      <c r="K5" s="36">
        <f t="shared" si="2"/>
        <v>8.3333333333333329E-2</v>
      </c>
      <c r="L5" s="37"/>
      <c r="M5" s="5"/>
    </row>
    <row r="6" spans="1:20" ht="33" customHeight="1">
      <c r="A6" s="6"/>
      <c r="B6" s="79" t="s">
        <v>37</v>
      </c>
      <c r="C6" s="44"/>
      <c r="D6" s="3"/>
      <c r="E6" s="45"/>
      <c r="F6" s="47">
        <f t="shared" si="0"/>
        <v>0</v>
      </c>
      <c r="I6" s="34"/>
      <c r="J6" s="13" t="str">
        <f t="shared" si="1"/>
        <v/>
      </c>
      <c r="K6" s="36">
        <f t="shared" si="2"/>
        <v>8.3333333333333329E-2</v>
      </c>
      <c r="L6" s="42"/>
      <c r="M6" s="43"/>
      <c r="N6" s="31"/>
      <c r="O6" s="31"/>
    </row>
    <row r="7" spans="1:20" ht="33" customHeight="1">
      <c r="B7" s="79" t="s">
        <v>45</v>
      </c>
      <c r="C7" s="33"/>
      <c r="D7" s="33"/>
      <c r="E7" s="48"/>
      <c r="F7" s="47">
        <f>CEILING(IF(E7="",0,E7+30/24/60),"0:10")</f>
        <v>0</v>
      </c>
      <c r="G7" s="31"/>
      <c r="H7" s="31"/>
      <c r="I7" s="11"/>
      <c r="J7" s="13" t="str">
        <f t="shared" si="1"/>
        <v/>
      </c>
      <c r="K7" s="36">
        <f t="shared" si="2"/>
        <v>8.3333333333333329E-2</v>
      </c>
      <c r="L7" s="37"/>
      <c r="M7" s="5"/>
    </row>
    <row r="8" spans="1:20" ht="33" customHeight="1">
      <c r="B8" s="79" t="s">
        <v>47</v>
      </c>
      <c r="C8" s="3"/>
      <c r="D8" s="3"/>
      <c r="E8" s="48"/>
      <c r="F8" s="47">
        <f t="shared" si="0"/>
        <v>0</v>
      </c>
      <c r="I8" s="11"/>
      <c r="J8" s="13" t="str">
        <f t="shared" si="1"/>
        <v/>
      </c>
      <c r="K8" s="36">
        <f t="shared" si="2"/>
        <v>8.3333333333333329E-2</v>
      </c>
      <c r="L8" s="37"/>
      <c r="M8" s="5"/>
    </row>
    <row r="9" spans="1:20" ht="33" customHeight="1" thickBot="1">
      <c r="A9" s="76"/>
      <c r="B9" s="80" t="s">
        <v>48</v>
      </c>
      <c r="C9" s="66"/>
      <c r="D9" s="66"/>
      <c r="E9" s="67"/>
      <c r="F9" s="68">
        <f t="shared" si="0"/>
        <v>0</v>
      </c>
      <c r="G9" s="31"/>
      <c r="H9" s="31"/>
      <c r="I9" s="71"/>
      <c r="J9" s="72" t="str">
        <f t="shared" si="1"/>
        <v/>
      </c>
      <c r="K9" s="73">
        <f t="shared" si="2"/>
        <v>8.3333333333333329E-2</v>
      </c>
      <c r="L9" s="37"/>
      <c r="M9" s="5"/>
    </row>
    <row r="10" spans="1:20" ht="33" customHeight="1">
      <c r="B10" s="77" t="s">
        <v>57</v>
      </c>
      <c r="C10" s="62"/>
      <c r="D10" s="63"/>
      <c r="E10" s="64"/>
      <c r="F10" s="65">
        <f>CEILING(IF(E10="",0,E10+30/24/60),"0:10")</f>
        <v>0</v>
      </c>
      <c r="G10" s="59"/>
      <c r="H10" s="59"/>
      <c r="I10" s="69"/>
      <c r="J10" s="70" t="str">
        <f t="shared" si="1"/>
        <v/>
      </c>
      <c r="K10" s="36">
        <f>CEILING((M10+60/24/30),"0:10")</f>
        <v>8.3333333333333329E-2</v>
      </c>
      <c r="L10" s="37"/>
      <c r="M10" s="5"/>
      <c r="N10" s="5"/>
    </row>
    <row r="11" spans="1:20" ht="33" customHeight="1">
      <c r="B11" s="78" t="s">
        <v>58</v>
      </c>
      <c r="C11" s="57"/>
      <c r="D11" s="58"/>
      <c r="E11" s="54"/>
      <c r="F11" s="47">
        <f t="shared" ref="F11:F17" si="3">CEILING(IF(E11="",0,E11+30/24/60),"0:10")</f>
        <v>0</v>
      </c>
      <c r="G11" s="59"/>
      <c r="H11" s="59"/>
      <c r="I11" s="52"/>
      <c r="J11" s="13" t="str">
        <f t="shared" si="1"/>
        <v/>
      </c>
      <c r="K11" s="36">
        <f t="shared" ref="K11:K17" si="4">CEILING((M11+60/24/30),"0:10")</f>
        <v>8.3333333333333329E-2</v>
      </c>
      <c r="L11" s="37"/>
      <c r="M11" s="5"/>
      <c r="N11" s="5"/>
    </row>
    <row r="12" spans="1:20" ht="33" customHeight="1">
      <c r="B12" s="78" t="s">
        <v>59</v>
      </c>
      <c r="C12" s="57"/>
      <c r="D12" s="58"/>
      <c r="E12" s="54"/>
      <c r="F12" s="47">
        <f t="shared" si="3"/>
        <v>0</v>
      </c>
      <c r="G12" s="59"/>
      <c r="H12" s="59"/>
      <c r="I12" s="52"/>
      <c r="J12" s="13" t="str">
        <f t="shared" si="1"/>
        <v/>
      </c>
      <c r="K12" s="36">
        <f t="shared" si="4"/>
        <v>8.3333333333333329E-2</v>
      </c>
      <c r="L12" s="37"/>
      <c r="M12" s="5"/>
      <c r="N12" s="5"/>
    </row>
    <row r="13" spans="1:20" ht="33" customHeight="1">
      <c r="B13" s="78" t="s">
        <v>60</v>
      </c>
      <c r="C13" s="57"/>
      <c r="D13" s="58"/>
      <c r="E13" s="54"/>
      <c r="F13" s="47">
        <f t="shared" si="3"/>
        <v>0</v>
      </c>
      <c r="G13" s="59"/>
      <c r="H13" s="59"/>
      <c r="I13" s="52"/>
      <c r="J13" s="13" t="str">
        <f t="shared" si="1"/>
        <v/>
      </c>
      <c r="K13" s="36">
        <f t="shared" si="4"/>
        <v>8.3333333333333329E-2</v>
      </c>
      <c r="L13" s="37"/>
      <c r="M13" s="5"/>
      <c r="N13" s="5"/>
    </row>
    <row r="14" spans="1:20" ht="33" customHeight="1">
      <c r="B14" s="78" t="s">
        <v>63</v>
      </c>
      <c r="C14" s="57"/>
      <c r="D14" s="58"/>
      <c r="E14" s="54"/>
      <c r="F14" s="47">
        <f t="shared" si="3"/>
        <v>0</v>
      </c>
      <c r="G14" s="59"/>
      <c r="H14" s="59"/>
      <c r="I14" s="52"/>
      <c r="J14" s="13" t="str">
        <f t="shared" si="1"/>
        <v/>
      </c>
      <c r="K14" s="36">
        <f t="shared" si="4"/>
        <v>8.3333333333333329E-2</v>
      </c>
      <c r="L14" s="37"/>
      <c r="M14" s="5"/>
      <c r="N14" s="5"/>
    </row>
    <row r="15" spans="1:20" ht="33" customHeight="1">
      <c r="B15" s="78" t="s">
        <v>62</v>
      </c>
      <c r="C15" s="57"/>
      <c r="D15" s="58"/>
      <c r="E15" s="54"/>
      <c r="F15" s="47">
        <f t="shared" si="3"/>
        <v>0</v>
      </c>
      <c r="G15" s="59"/>
      <c r="H15" s="59"/>
      <c r="I15" s="52"/>
      <c r="J15" s="13" t="str">
        <f t="shared" si="1"/>
        <v/>
      </c>
      <c r="K15" s="36">
        <f t="shared" si="4"/>
        <v>8.3333333333333329E-2</v>
      </c>
      <c r="L15" s="37"/>
      <c r="M15" s="5"/>
      <c r="N15" s="5"/>
    </row>
    <row r="16" spans="1:20" ht="33" customHeight="1">
      <c r="B16" s="78" t="s">
        <v>64</v>
      </c>
      <c r="C16" s="57"/>
      <c r="D16" s="58"/>
      <c r="E16" s="54"/>
      <c r="F16" s="47">
        <f t="shared" si="3"/>
        <v>0</v>
      </c>
      <c r="G16" s="59"/>
      <c r="H16" s="59"/>
      <c r="I16" s="52"/>
      <c r="J16" s="13" t="str">
        <f t="shared" si="1"/>
        <v/>
      </c>
      <c r="K16" s="36">
        <f t="shared" si="4"/>
        <v>8.3333333333333329E-2</v>
      </c>
      <c r="L16" s="37"/>
      <c r="M16" s="5"/>
      <c r="N16" s="5"/>
    </row>
    <row r="17" spans="2:14" ht="33" customHeight="1">
      <c r="B17" s="78" t="s">
        <v>61</v>
      </c>
      <c r="C17" s="57"/>
      <c r="D17" s="58"/>
      <c r="E17" s="54"/>
      <c r="F17" s="47">
        <f t="shared" si="3"/>
        <v>0</v>
      </c>
      <c r="G17" s="59"/>
      <c r="H17" s="59"/>
      <c r="I17" s="52"/>
      <c r="J17" s="13" t="str">
        <f t="shared" si="1"/>
        <v/>
      </c>
      <c r="K17" s="36">
        <f t="shared" si="4"/>
        <v>8.3333333333333329E-2</v>
      </c>
      <c r="L17" s="37"/>
      <c r="M17" s="5"/>
      <c r="N17" s="5"/>
    </row>
    <row r="18" spans="2:14" ht="24" customHeight="1">
      <c r="J18" s="6" t="s">
        <v>49</v>
      </c>
      <c r="L18" t="s">
        <v>31</v>
      </c>
    </row>
    <row r="19" spans="2:14" ht="24" customHeight="1">
      <c r="J19" s="6" t="s">
        <v>50</v>
      </c>
    </row>
  </sheetData>
  <phoneticPr fontId="1"/>
  <conditionalFormatting sqref="I10:I17">
    <cfRule type="cellIs" dxfId="1" priority="2" operator="greaterThan">
      <formula>3</formula>
    </cfRule>
  </conditionalFormatting>
  <conditionalFormatting sqref="I2:I9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ignoredErrors>
    <ignoredError sqref="F3:F11 F12:F17 J3:K17 K2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返却1">
                <anchor moveWithCells="1">
                  <from>
                    <xdr:col>3</xdr:col>
                    <xdr:colOff>88900</xdr:colOff>
                    <xdr:row>1</xdr:row>
                    <xdr:rowOff>25400</xdr:rowOff>
                  </from>
                  <to>
                    <xdr:col>3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S貸出1">
                <anchor moveWithCells="1">
                  <from>
                    <xdr:col>2</xdr:col>
                    <xdr:colOff>88900</xdr:colOff>
                    <xdr:row>1</xdr:row>
                    <xdr:rowOff>25400</xdr:rowOff>
                  </from>
                  <to>
                    <xdr:col>2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BS貸出2">
                <anchor moveWithCells="1">
                  <from>
                    <xdr:col>2</xdr:col>
                    <xdr:colOff>88900</xdr:colOff>
                    <xdr:row>2</xdr:row>
                    <xdr:rowOff>25400</xdr:rowOff>
                  </from>
                  <to>
                    <xdr:col>2</xdr:col>
                    <xdr:colOff>1054100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BS貸出3">
                <anchor moveWithCells="1">
                  <from>
                    <xdr:col>2</xdr:col>
                    <xdr:colOff>88900</xdr:colOff>
                    <xdr:row>3</xdr:row>
                    <xdr:rowOff>25400</xdr:rowOff>
                  </from>
                  <to>
                    <xdr:col>2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S貸出4">
                <anchor moveWithCells="1">
                  <from>
                    <xdr:col>2</xdr:col>
                    <xdr:colOff>88900</xdr:colOff>
                    <xdr:row>4</xdr:row>
                    <xdr:rowOff>25400</xdr:rowOff>
                  </from>
                  <to>
                    <xdr:col>2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BS貸出5">
                <anchor moveWithCells="1">
                  <from>
                    <xdr:col>2</xdr:col>
                    <xdr:colOff>88900</xdr:colOff>
                    <xdr:row>5</xdr:row>
                    <xdr:rowOff>25400</xdr:rowOff>
                  </from>
                  <to>
                    <xdr:col>2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BS貸出6">
                <anchor mov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2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BS貸出7">
                <anchor moveWithCells="1">
                  <from>
                    <xdr:col>2</xdr:col>
                    <xdr:colOff>88900</xdr:colOff>
                    <xdr:row>7</xdr:row>
                    <xdr:rowOff>25400</xdr:rowOff>
                  </from>
                  <to>
                    <xdr:col>2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BS貸出8">
                <anchor moveWithCells="1">
                  <from>
                    <xdr:col>2</xdr:col>
                    <xdr:colOff>88900</xdr:colOff>
                    <xdr:row>8</xdr:row>
                    <xdr:rowOff>25400</xdr:rowOff>
                  </from>
                  <to>
                    <xdr:col>2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返却2">
                <anchor moveWithCells="1">
                  <from>
                    <xdr:col>3</xdr:col>
                    <xdr:colOff>88900</xdr:colOff>
                    <xdr:row>2</xdr:row>
                    <xdr:rowOff>25400</xdr:rowOff>
                  </from>
                  <to>
                    <xdr:col>3</xdr:col>
                    <xdr:colOff>1054100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返却3">
                <anchor moveWithCells="1">
                  <from>
                    <xdr:col>3</xdr:col>
                    <xdr:colOff>88900</xdr:colOff>
                    <xdr:row>3</xdr:row>
                    <xdr:rowOff>25400</xdr:rowOff>
                  </from>
                  <to>
                    <xdr:col>3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返却4">
                <anchor moveWithCells="1">
                  <from>
                    <xdr:col>3</xdr:col>
                    <xdr:colOff>88900</xdr:colOff>
                    <xdr:row>4</xdr:row>
                    <xdr:rowOff>25400</xdr:rowOff>
                  </from>
                  <to>
                    <xdr:col>3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返却5">
                <anchor moveWithCells="1">
                  <from>
                    <xdr:col>3</xdr:col>
                    <xdr:colOff>88900</xdr:colOff>
                    <xdr:row>5</xdr:row>
                    <xdr:rowOff>25400</xdr:rowOff>
                  </from>
                  <to>
                    <xdr:col>3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返却6">
                <anchor mov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返却7">
                <anchor moveWithCells="1">
                  <from>
                    <xdr:col>3</xdr:col>
                    <xdr:colOff>88900</xdr:colOff>
                    <xdr:row>7</xdr:row>
                    <xdr:rowOff>25400</xdr:rowOff>
                  </from>
                  <to>
                    <xdr:col>3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返却8">
                <anchor moveWithCells="1">
                  <from>
                    <xdr:col>3</xdr:col>
                    <xdr:colOff>88900</xdr:colOff>
                    <xdr:row>8</xdr:row>
                    <xdr:rowOff>25400</xdr:rowOff>
                  </from>
                  <to>
                    <xdr:col>3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BS印刷1">
                <anchor moveWithCells="1">
                  <from>
                    <xdr:col>6</xdr:col>
                    <xdr:colOff>101600</xdr:colOff>
                    <xdr:row>1</xdr:row>
                    <xdr:rowOff>25400</xdr:rowOff>
                  </from>
                  <to>
                    <xdr:col>7</xdr:col>
                    <xdr:colOff>482600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印刷1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482600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BS印刷2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482600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BS印刷3">
                <anchor moveWithCells="1">
                  <from>
                    <xdr:col>6</xdr:col>
                    <xdr:colOff>101600</xdr:colOff>
                    <xdr:row>3</xdr:row>
                    <xdr:rowOff>25400</xdr:rowOff>
                  </from>
                  <to>
                    <xdr:col>7</xdr:col>
                    <xdr:colOff>482600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BS印刷4">
                <anchor moveWithCells="1">
                  <from>
                    <xdr:col>6</xdr:col>
                    <xdr:colOff>101600</xdr:colOff>
                    <xdr:row>4</xdr:row>
                    <xdr:rowOff>25400</xdr:rowOff>
                  </from>
                  <to>
                    <xdr:col>7</xdr:col>
                    <xdr:colOff>482600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BS印刷5">
                <anchor moveWithCells="1">
                  <from>
                    <xdr:col>6</xdr:col>
                    <xdr:colOff>101600</xdr:colOff>
                    <xdr:row>5</xdr:row>
                    <xdr:rowOff>25400</xdr:rowOff>
                  </from>
                  <to>
                    <xdr:col>7</xdr:col>
                    <xdr:colOff>482600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BS印刷6">
                <anchor moveWithCells="1">
                  <from>
                    <xdr:col>6</xdr:col>
                    <xdr:colOff>101600</xdr:colOff>
                    <xdr:row>6</xdr:row>
                    <xdr:rowOff>25400</xdr:rowOff>
                  </from>
                  <to>
                    <xdr:col>7</xdr:col>
                    <xdr:colOff>482600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BS印刷7">
                <anchor moveWithCells="1">
                  <from>
                    <xdr:col>6</xdr:col>
                    <xdr:colOff>101600</xdr:colOff>
                    <xdr:row>7</xdr:row>
                    <xdr:rowOff>25400</xdr:rowOff>
                  </from>
                  <to>
                    <xdr:col>7</xdr:col>
                    <xdr:colOff>482600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BS印刷8">
                <anchor moveWithCells="1">
                  <from>
                    <xdr:col>6</xdr:col>
                    <xdr:colOff>101600</xdr:colOff>
                    <xdr:row>8</xdr:row>
                    <xdr:rowOff>25400</xdr:rowOff>
                  </from>
                  <to>
                    <xdr:col>7</xdr:col>
                    <xdr:colOff>482600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9" name="Button 27">
              <controlPr defaultSize="0" print="0" autoFill="0" autoPict="0" macro="[0]!充電完了1">
                <anchor moveWithCells="1">
                  <from>
                    <xdr:col>12</xdr:col>
                    <xdr:colOff>50800</xdr:colOff>
                    <xdr:row>1</xdr:row>
                    <xdr:rowOff>25400</xdr:rowOff>
                  </from>
                  <to>
                    <xdr:col>14</xdr:col>
                    <xdr:colOff>495300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0" name="Button 28">
              <controlPr defaultSize="0" print="0" autoFill="0" autoPict="0" macro="[0]!充電完了2">
                <anchor moveWithCells="1">
                  <from>
                    <xdr:col>12</xdr:col>
                    <xdr:colOff>50800</xdr:colOff>
                    <xdr:row>2</xdr:row>
                    <xdr:rowOff>25400</xdr:rowOff>
                  </from>
                  <to>
                    <xdr:col>14</xdr:col>
                    <xdr:colOff>495300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1" name="Button 29">
              <controlPr defaultSize="0" print="0" autoFill="0" autoPict="0" macro="[0]!充電完了3">
                <anchor moveWithCells="1">
                  <from>
                    <xdr:col>12</xdr:col>
                    <xdr:colOff>50800</xdr:colOff>
                    <xdr:row>3</xdr:row>
                    <xdr:rowOff>25400</xdr:rowOff>
                  </from>
                  <to>
                    <xdr:col>14</xdr:col>
                    <xdr:colOff>495300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2" name="Button 30">
              <controlPr defaultSize="0" print="0" autoFill="0" autoPict="0" macro="[0]!充電完了4">
                <anchor moveWithCells="1">
                  <from>
                    <xdr:col>12</xdr:col>
                    <xdr:colOff>50800</xdr:colOff>
                    <xdr:row>4</xdr:row>
                    <xdr:rowOff>25400</xdr:rowOff>
                  </from>
                  <to>
                    <xdr:col>14</xdr:col>
                    <xdr:colOff>495300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3" name="Button 31">
              <controlPr defaultSize="0" print="0" autoFill="0" autoPict="0" macro="[0]!充電完了5">
                <anchor moveWithCells="1">
                  <from>
                    <xdr:col>12</xdr:col>
                    <xdr:colOff>50800</xdr:colOff>
                    <xdr:row>5</xdr:row>
                    <xdr:rowOff>25400</xdr:rowOff>
                  </from>
                  <to>
                    <xdr:col>14</xdr:col>
                    <xdr:colOff>495300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4" name="Button 32">
              <controlPr defaultSize="0" print="0" autoFill="0" autoPict="0" macro="[0]!充電完了6">
                <anchor moveWithCells="1">
                  <from>
                    <xdr:col>12</xdr:col>
                    <xdr:colOff>50800</xdr:colOff>
                    <xdr:row>6</xdr:row>
                    <xdr:rowOff>25400</xdr:rowOff>
                  </from>
                  <to>
                    <xdr:col>14</xdr:col>
                    <xdr:colOff>495300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5" name="Button 33">
              <controlPr defaultSize="0" print="0" autoFill="0" autoPict="0" macro="[0]!充電完了7">
                <anchor moveWithCells="1">
                  <from>
                    <xdr:col>12</xdr:col>
                    <xdr:colOff>50800</xdr:colOff>
                    <xdr:row>7</xdr:row>
                    <xdr:rowOff>25400</xdr:rowOff>
                  </from>
                  <to>
                    <xdr:col>14</xdr:col>
                    <xdr:colOff>495300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6" name="Button 34">
              <controlPr defaultSize="0" print="0" autoFill="0" autoPict="0" macro="[0]!充電完了8">
                <anchor moveWithCells="1">
                  <from>
                    <xdr:col>12</xdr:col>
                    <xdr:colOff>50800</xdr:colOff>
                    <xdr:row>8</xdr:row>
                    <xdr:rowOff>25400</xdr:rowOff>
                  </from>
                  <to>
                    <xdr:col>14</xdr:col>
                    <xdr:colOff>495300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7" name="Button 35">
              <controlPr defaultSize="0" print="0" autoFill="0" autoPict="0" macro="[0]!ALLクリアBS">
                <anchor moveWithCells="1">
                  <from>
                    <xdr:col>14</xdr:col>
                    <xdr:colOff>546100</xdr:colOff>
                    <xdr:row>1</xdr:row>
                    <xdr:rowOff>0</xdr:rowOff>
                  </from>
                  <to>
                    <xdr:col>16</xdr:col>
                    <xdr:colOff>508000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8" name="Button 37">
              <controlPr defaultSize="0" print="0" autoFill="0" autoPict="0" macro="[0]!充電開始1">
                <anchor moveWithCells="1">
                  <from>
                    <xdr:col>11</xdr:col>
                    <xdr:colOff>50800</xdr:colOff>
                    <xdr:row>1</xdr:row>
                    <xdr:rowOff>25400</xdr:rowOff>
                  </from>
                  <to>
                    <xdr:col>12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9" name="Button 38">
              <controlPr defaultSize="0" print="0" autoFill="0" autoPict="0" macro="[0]!充電開始2">
                <anchor mov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12</xdr:col>
                    <xdr:colOff>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0" name="Button 39">
              <controlPr defaultSize="0" print="0" autoFill="0" autoPict="0" macro="[0]!充電開始3">
                <anchor mov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12</xdr:col>
                    <xdr:colOff>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1" name="Button 40">
              <controlPr defaultSize="0" print="0" autoFill="0" autoPict="0" macro="[0]!充電開始4">
                <anchor mov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12</xdr:col>
                    <xdr:colOff>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2" name="Button 41">
              <controlPr defaultSize="0" print="0" autoFill="0" autoPict="0" macro="[0]!充電開始5">
                <anchor mov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12</xdr:col>
                    <xdr:colOff>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3" name="Button 43">
              <controlPr defaultSize="0" print="0" autoFill="0" autoPict="0" macro="[0]!充電開始6">
                <anchor mov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12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4" name="Button 44">
              <controlPr defaultSize="0" print="0" autoFill="0" autoPict="0" macro="[0]!充電開始7">
                <anchor mov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12</xdr:col>
                    <xdr:colOff>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5" name="Button 45">
              <controlPr defaultSize="0" print="0" autoFill="0" autoPict="0" macro="[0]!充電開始8">
                <anchor mov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12</xdr:col>
                    <xdr:colOff>0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6" name="Button 46">
              <controlPr defaultSize="0" print="0" autoFill="0" autoPict="0" macro="[0]!BS貸出5">
                <anchor moveWithCells="1">
                  <from>
                    <xdr:col>2</xdr:col>
                    <xdr:colOff>88900</xdr:colOff>
                    <xdr:row>5</xdr:row>
                    <xdr:rowOff>25400</xdr:rowOff>
                  </from>
                  <to>
                    <xdr:col>2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7" name="Button 47">
              <controlPr defaultSize="0" print="0" autoFill="0" autoPict="0" macro="[0]!返却5">
                <anchor moveWithCells="1">
                  <from>
                    <xdr:col>3</xdr:col>
                    <xdr:colOff>88900</xdr:colOff>
                    <xdr:row>5</xdr:row>
                    <xdr:rowOff>25400</xdr:rowOff>
                  </from>
                  <to>
                    <xdr:col>3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48" name="Button 48">
              <controlPr defaultSize="0" print="0" autoFill="0" autoPict="0" macro="[0]!BS印刷2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482600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49" name="Button 49">
              <controlPr defaultSize="0" print="0" autoFill="0" autoPict="0" macro="[0]!返却9">
                <anchor moveWithCells="1">
                  <from>
                    <xdr:col>3</xdr:col>
                    <xdr:colOff>88900</xdr:colOff>
                    <xdr:row>9</xdr:row>
                    <xdr:rowOff>25400</xdr:rowOff>
                  </from>
                  <to>
                    <xdr:col>3</xdr:col>
                    <xdr:colOff>1054100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0" name="Button 50">
              <controlPr defaultSize="0" print="0" autoFill="0" autoPict="0" macro="[0]!BS貸出9">
                <anchor moveWithCells="1">
                  <from>
                    <xdr:col>2</xdr:col>
                    <xdr:colOff>88900</xdr:colOff>
                    <xdr:row>9</xdr:row>
                    <xdr:rowOff>25400</xdr:rowOff>
                  </from>
                  <to>
                    <xdr:col>2</xdr:col>
                    <xdr:colOff>1054100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1" name="Button 51">
              <controlPr defaultSize="0" print="0" autoFill="0" autoPict="0" macro="[0]!BS印刷9">
                <anchor moveWithCells="1">
                  <from>
                    <xdr:col>6</xdr:col>
                    <xdr:colOff>101600</xdr:colOff>
                    <xdr:row>9</xdr:row>
                    <xdr:rowOff>25400</xdr:rowOff>
                  </from>
                  <to>
                    <xdr:col>7</xdr:col>
                    <xdr:colOff>482600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2" name="Button 52">
              <controlPr defaultSize="0" print="0" autoFill="0" autoPict="0" macro="[0]!充電完了9">
                <anchor moveWithCells="1">
                  <from>
                    <xdr:col>12</xdr:col>
                    <xdr:colOff>50800</xdr:colOff>
                    <xdr:row>9</xdr:row>
                    <xdr:rowOff>25400</xdr:rowOff>
                  </from>
                  <to>
                    <xdr:col>14</xdr:col>
                    <xdr:colOff>495300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3" name="Button 53">
              <controlPr defaultSize="0" print="0" autoFill="0" autoPict="0" macro="[0]!充電開始9">
                <anchor mov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12</xdr:col>
                    <xdr:colOff>0</xdr:colOff>
                    <xdr:row>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4" name="Button 54">
              <controlPr defaultSize="0" print="0" autoFill="0" autoPict="0" macro="[0]!返却10">
                <anchor moveWithCells="1">
                  <from>
                    <xdr:col>3</xdr:col>
                    <xdr:colOff>88900</xdr:colOff>
                    <xdr:row>10</xdr:row>
                    <xdr:rowOff>25400</xdr:rowOff>
                  </from>
                  <to>
                    <xdr:col>3</xdr:col>
                    <xdr:colOff>1054100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5" name="Button 55">
              <controlPr defaultSize="0" print="0" autoFill="0" autoPict="0" macro="[0]!BS貸出10">
                <anchor moveWithCells="1">
                  <from>
                    <xdr:col>2</xdr:col>
                    <xdr:colOff>88900</xdr:colOff>
                    <xdr:row>10</xdr:row>
                    <xdr:rowOff>25400</xdr:rowOff>
                  </from>
                  <to>
                    <xdr:col>2</xdr:col>
                    <xdr:colOff>1054100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6" name="Button 56">
              <controlPr defaultSize="0" print="0" autoFill="0" autoPict="0" macro="[0]!BS印刷10">
                <anchor moveWithCells="1">
                  <from>
                    <xdr:col>6</xdr:col>
                    <xdr:colOff>101600</xdr:colOff>
                    <xdr:row>10</xdr:row>
                    <xdr:rowOff>25400</xdr:rowOff>
                  </from>
                  <to>
                    <xdr:col>7</xdr:col>
                    <xdr:colOff>482600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7" name="Button 57">
              <controlPr defaultSize="0" print="0" autoFill="0" autoPict="0" macro="[0]!充電完了10">
                <anchor moveWithCells="1">
                  <from>
                    <xdr:col>12</xdr:col>
                    <xdr:colOff>50800</xdr:colOff>
                    <xdr:row>10</xdr:row>
                    <xdr:rowOff>25400</xdr:rowOff>
                  </from>
                  <to>
                    <xdr:col>14</xdr:col>
                    <xdr:colOff>495300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58" name="Button 58">
              <controlPr defaultSize="0" print="0" autoFill="0" autoPict="0" macro="[0]!充電開始10">
                <anchor mov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12</xdr:col>
                    <xdr:colOff>0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59" name="Button 59">
              <controlPr defaultSize="0" print="0" autoFill="0" autoPict="0" macro="[0]!返却11">
                <anchor moveWithCells="1">
                  <from>
                    <xdr:col>3</xdr:col>
                    <xdr:colOff>88900</xdr:colOff>
                    <xdr:row>11</xdr:row>
                    <xdr:rowOff>25400</xdr:rowOff>
                  </from>
                  <to>
                    <xdr:col>3</xdr:col>
                    <xdr:colOff>1054100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0" name="Button 60">
              <controlPr defaultSize="0" print="0" autoFill="0" autoPict="0" macro="[0]!BS貸出11">
                <anchor moveWithCells="1">
                  <from>
                    <xdr:col>2</xdr:col>
                    <xdr:colOff>88900</xdr:colOff>
                    <xdr:row>11</xdr:row>
                    <xdr:rowOff>25400</xdr:rowOff>
                  </from>
                  <to>
                    <xdr:col>2</xdr:col>
                    <xdr:colOff>1054100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1" name="Button 61">
              <controlPr defaultSize="0" print="0" autoFill="0" autoPict="0" macro="[0]!BS印刷11">
                <anchor moveWithCells="1">
                  <from>
                    <xdr:col>6</xdr:col>
                    <xdr:colOff>101600</xdr:colOff>
                    <xdr:row>11</xdr:row>
                    <xdr:rowOff>25400</xdr:rowOff>
                  </from>
                  <to>
                    <xdr:col>7</xdr:col>
                    <xdr:colOff>482600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2" name="Button 62">
              <controlPr defaultSize="0" print="0" autoFill="0" autoPict="0" macro="[0]!充電完了11">
                <anchor moveWithCells="1">
                  <from>
                    <xdr:col>12</xdr:col>
                    <xdr:colOff>50800</xdr:colOff>
                    <xdr:row>11</xdr:row>
                    <xdr:rowOff>25400</xdr:rowOff>
                  </from>
                  <to>
                    <xdr:col>14</xdr:col>
                    <xdr:colOff>495300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3" name="Button 63">
              <controlPr defaultSize="0" print="0" autoFill="0" autoPict="0" macro="[0]!充電開始11">
                <anchor mov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12</xdr:col>
                    <xdr:colOff>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4" name="Button 64">
              <controlPr defaultSize="0" print="0" autoFill="0" autoPict="0" macro="[0]!返却12">
                <anchor moveWithCells="1">
                  <from>
                    <xdr:col>3</xdr:col>
                    <xdr:colOff>88900</xdr:colOff>
                    <xdr:row>12</xdr:row>
                    <xdr:rowOff>25400</xdr:rowOff>
                  </from>
                  <to>
                    <xdr:col>3</xdr:col>
                    <xdr:colOff>1054100</xdr:colOff>
                    <xdr:row>12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5" name="Button 65">
              <controlPr defaultSize="0" print="0" autoFill="0" autoPict="0" macro="[0]!BS貸出12">
                <anchor moveWithCells="1">
                  <from>
                    <xdr:col>2</xdr:col>
                    <xdr:colOff>88900</xdr:colOff>
                    <xdr:row>12</xdr:row>
                    <xdr:rowOff>25400</xdr:rowOff>
                  </from>
                  <to>
                    <xdr:col>2</xdr:col>
                    <xdr:colOff>1054100</xdr:colOff>
                    <xdr:row>12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6" name="Button 66">
              <controlPr defaultSize="0" print="0" autoFill="0" autoPict="0" macro="[0]!BS印刷12">
                <anchor moveWithCells="1">
                  <from>
                    <xdr:col>6</xdr:col>
                    <xdr:colOff>101600</xdr:colOff>
                    <xdr:row>12</xdr:row>
                    <xdr:rowOff>25400</xdr:rowOff>
                  </from>
                  <to>
                    <xdr:col>7</xdr:col>
                    <xdr:colOff>482600</xdr:colOff>
                    <xdr:row>12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7" name="Button 67">
              <controlPr defaultSize="0" print="0" autoFill="0" autoPict="0" macro="[0]!充電完了12">
                <anchor moveWithCells="1">
                  <from>
                    <xdr:col>12</xdr:col>
                    <xdr:colOff>50800</xdr:colOff>
                    <xdr:row>12</xdr:row>
                    <xdr:rowOff>25400</xdr:rowOff>
                  </from>
                  <to>
                    <xdr:col>14</xdr:col>
                    <xdr:colOff>495300</xdr:colOff>
                    <xdr:row>12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" name="Button 68">
              <controlPr defaultSize="0" print="0" autoFill="0" autoPict="0" macro="[0]!充電開始12">
                <anchor mov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12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9" name="Button 69">
              <controlPr defaultSize="0" print="0" autoFill="0" autoPict="0" macro="[0]!返却13">
                <anchor moveWithCells="1">
                  <from>
                    <xdr:col>3</xdr:col>
                    <xdr:colOff>88900</xdr:colOff>
                    <xdr:row>13</xdr:row>
                    <xdr:rowOff>25400</xdr:rowOff>
                  </from>
                  <to>
                    <xdr:col>3</xdr:col>
                    <xdr:colOff>1054100</xdr:colOff>
                    <xdr:row>13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0" name="Button 70">
              <controlPr defaultSize="0" print="0" autoFill="0" autoPict="0" macro="[0]!BS貸出13">
                <anchor moveWithCells="1">
                  <from>
                    <xdr:col>2</xdr:col>
                    <xdr:colOff>88900</xdr:colOff>
                    <xdr:row>13</xdr:row>
                    <xdr:rowOff>25400</xdr:rowOff>
                  </from>
                  <to>
                    <xdr:col>2</xdr:col>
                    <xdr:colOff>1054100</xdr:colOff>
                    <xdr:row>13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1" name="Button 71">
              <controlPr defaultSize="0" print="0" autoFill="0" autoPict="0" macro="[0]!BS印刷13">
                <anchor moveWithCells="1">
                  <from>
                    <xdr:col>6</xdr:col>
                    <xdr:colOff>101600</xdr:colOff>
                    <xdr:row>13</xdr:row>
                    <xdr:rowOff>25400</xdr:rowOff>
                  </from>
                  <to>
                    <xdr:col>7</xdr:col>
                    <xdr:colOff>482600</xdr:colOff>
                    <xdr:row>13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2" name="Button 72">
              <controlPr defaultSize="0" print="0" autoFill="0" autoPict="0" macro="[0]!充電完了13">
                <anchor moveWithCells="1">
                  <from>
                    <xdr:col>12</xdr:col>
                    <xdr:colOff>50800</xdr:colOff>
                    <xdr:row>13</xdr:row>
                    <xdr:rowOff>25400</xdr:rowOff>
                  </from>
                  <to>
                    <xdr:col>14</xdr:col>
                    <xdr:colOff>495300</xdr:colOff>
                    <xdr:row>13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3" name="Button 73">
              <controlPr defaultSize="0" print="0" autoFill="0" autoPict="0" macro="[0]!充電開始13">
                <anchor mov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12</xdr:col>
                    <xdr:colOff>0</xdr:colOff>
                    <xdr:row>13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4" name="Button 74">
              <controlPr defaultSize="0" print="0" autoFill="0" autoPict="0" macro="[0]!返却14">
                <anchor moveWithCells="1">
                  <from>
                    <xdr:col>3</xdr:col>
                    <xdr:colOff>88900</xdr:colOff>
                    <xdr:row>14</xdr:row>
                    <xdr:rowOff>25400</xdr:rowOff>
                  </from>
                  <to>
                    <xdr:col>3</xdr:col>
                    <xdr:colOff>1054100</xdr:colOff>
                    <xdr:row>14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5" name="Button 75">
              <controlPr defaultSize="0" print="0" autoFill="0" autoPict="0" macro="[0]!BS貸出14">
                <anchor moveWithCells="1">
                  <from>
                    <xdr:col>2</xdr:col>
                    <xdr:colOff>88900</xdr:colOff>
                    <xdr:row>14</xdr:row>
                    <xdr:rowOff>25400</xdr:rowOff>
                  </from>
                  <to>
                    <xdr:col>2</xdr:col>
                    <xdr:colOff>1054100</xdr:colOff>
                    <xdr:row>14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6" name="Button 76">
              <controlPr defaultSize="0" print="0" autoFill="0" autoPict="0" macro="[0]!BS印刷14">
                <anchor moveWithCells="1">
                  <from>
                    <xdr:col>6</xdr:col>
                    <xdr:colOff>101600</xdr:colOff>
                    <xdr:row>14</xdr:row>
                    <xdr:rowOff>25400</xdr:rowOff>
                  </from>
                  <to>
                    <xdr:col>7</xdr:col>
                    <xdr:colOff>482600</xdr:colOff>
                    <xdr:row>14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7" name="Button 77">
              <controlPr defaultSize="0" print="0" autoFill="0" autoPict="0" macro="[0]!充電完了14">
                <anchor moveWithCells="1">
                  <from>
                    <xdr:col>12</xdr:col>
                    <xdr:colOff>50800</xdr:colOff>
                    <xdr:row>14</xdr:row>
                    <xdr:rowOff>25400</xdr:rowOff>
                  </from>
                  <to>
                    <xdr:col>14</xdr:col>
                    <xdr:colOff>495300</xdr:colOff>
                    <xdr:row>14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8" name="Button 78">
              <controlPr defaultSize="0" print="0" autoFill="0" autoPict="0" macro="[0]!充電開始14">
                <anchor mov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12</xdr:col>
                    <xdr:colOff>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9" name="Button 79">
              <controlPr defaultSize="0" print="0" autoFill="0" autoPict="0" macro="[0]!返却15">
                <anchor moveWithCells="1">
                  <from>
                    <xdr:col>3</xdr:col>
                    <xdr:colOff>88900</xdr:colOff>
                    <xdr:row>15</xdr:row>
                    <xdr:rowOff>25400</xdr:rowOff>
                  </from>
                  <to>
                    <xdr:col>3</xdr:col>
                    <xdr:colOff>1054100</xdr:colOff>
                    <xdr:row>15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0" name="Button 80">
              <controlPr defaultSize="0" print="0" autoFill="0" autoPict="0" macro="[0]!BS貸出15">
                <anchor moveWithCells="1">
                  <from>
                    <xdr:col>2</xdr:col>
                    <xdr:colOff>88900</xdr:colOff>
                    <xdr:row>15</xdr:row>
                    <xdr:rowOff>25400</xdr:rowOff>
                  </from>
                  <to>
                    <xdr:col>2</xdr:col>
                    <xdr:colOff>1054100</xdr:colOff>
                    <xdr:row>15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1" name="Button 81">
              <controlPr defaultSize="0" print="0" autoFill="0" autoPict="0" macro="[0]!BS印刷15">
                <anchor moveWithCells="1">
                  <from>
                    <xdr:col>6</xdr:col>
                    <xdr:colOff>101600</xdr:colOff>
                    <xdr:row>15</xdr:row>
                    <xdr:rowOff>25400</xdr:rowOff>
                  </from>
                  <to>
                    <xdr:col>7</xdr:col>
                    <xdr:colOff>482600</xdr:colOff>
                    <xdr:row>15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2" name="Button 82">
              <controlPr defaultSize="0" print="0" autoFill="0" autoPict="0" macro="[0]!充電完了15">
                <anchor moveWithCells="1">
                  <from>
                    <xdr:col>12</xdr:col>
                    <xdr:colOff>50800</xdr:colOff>
                    <xdr:row>15</xdr:row>
                    <xdr:rowOff>25400</xdr:rowOff>
                  </from>
                  <to>
                    <xdr:col>14</xdr:col>
                    <xdr:colOff>495300</xdr:colOff>
                    <xdr:row>15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3" name="Button 83">
              <controlPr defaultSize="0" print="0" autoFill="0" autoPict="0" macro="[0]!充電開始15">
                <anchor mov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12</xdr:col>
                    <xdr:colOff>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4" name="Button 84">
              <controlPr defaultSize="0" print="0" autoFill="0" autoPict="0" macro="[0]!返却16">
                <anchor moveWithCells="1">
                  <from>
                    <xdr:col>3</xdr:col>
                    <xdr:colOff>88900</xdr:colOff>
                    <xdr:row>16</xdr:row>
                    <xdr:rowOff>25400</xdr:rowOff>
                  </from>
                  <to>
                    <xdr:col>3</xdr:col>
                    <xdr:colOff>1054100</xdr:colOff>
                    <xdr:row>16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5" name="Button 85">
              <controlPr defaultSize="0" print="0" autoFill="0" autoPict="0" macro="[0]!BS貸出16">
                <anchor moveWithCells="1">
                  <from>
                    <xdr:col>2</xdr:col>
                    <xdr:colOff>88900</xdr:colOff>
                    <xdr:row>16</xdr:row>
                    <xdr:rowOff>25400</xdr:rowOff>
                  </from>
                  <to>
                    <xdr:col>2</xdr:col>
                    <xdr:colOff>1054100</xdr:colOff>
                    <xdr:row>16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6" name="Button 86">
              <controlPr defaultSize="0" print="0" autoFill="0" autoPict="0" macro="[0]!BS印刷16">
                <anchor moveWithCells="1">
                  <from>
                    <xdr:col>6</xdr:col>
                    <xdr:colOff>101600</xdr:colOff>
                    <xdr:row>16</xdr:row>
                    <xdr:rowOff>25400</xdr:rowOff>
                  </from>
                  <to>
                    <xdr:col>7</xdr:col>
                    <xdr:colOff>482600</xdr:colOff>
                    <xdr:row>16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87" name="Button 87">
              <controlPr defaultSize="0" print="0" autoFill="0" autoPict="0" macro="[0]!充電完了16">
                <anchor moveWithCells="1">
                  <from>
                    <xdr:col>12</xdr:col>
                    <xdr:colOff>50800</xdr:colOff>
                    <xdr:row>16</xdr:row>
                    <xdr:rowOff>25400</xdr:rowOff>
                  </from>
                  <to>
                    <xdr:col>14</xdr:col>
                    <xdr:colOff>495300</xdr:colOff>
                    <xdr:row>16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88" name="Button 88">
              <controlPr defaultSize="0" print="0" autoFill="0" autoPict="0" macro="[0]!充電開始16">
                <anchor mov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12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89" name="Button 89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1</xdr:row>
                    <xdr:rowOff>63500</xdr:rowOff>
                  </from>
                  <to>
                    <xdr:col>0</xdr:col>
                    <xdr:colOff>584200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0" name="Button 90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2</xdr:row>
                    <xdr:rowOff>63500</xdr:rowOff>
                  </from>
                  <to>
                    <xdr:col>0</xdr:col>
                    <xdr:colOff>584200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1" name="Button 91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3</xdr:row>
                    <xdr:rowOff>63500</xdr:rowOff>
                  </from>
                  <to>
                    <xdr:col>0</xdr:col>
                    <xdr:colOff>584200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2" name="Button 92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4</xdr:row>
                    <xdr:rowOff>63500</xdr:rowOff>
                  </from>
                  <to>
                    <xdr:col>0</xdr:col>
                    <xdr:colOff>584200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3" name="Button 93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5</xdr:row>
                    <xdr:rowOff>63500</xdr:rowOff>
                  </from>
                  <to>
                    <xdr:col>0</xdr:col>
                    <xdr:colOff>584200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4" name="Button 94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6</xdr:row>
                    <xdr:rowOff>63500</xdr:rowOff>
                  </from>
                  <to>
                    <xdr:col>0</xdr:col>
                    <xdr:colOff>584200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5" name="Button 95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7</xdr:row>
                    <xdr:rowOff>63500</xdr:rowOff>
                  </from>
                  <to>
                    <xdr:col>0</xdr:col>
                    <xdr:colOff>584200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6" name="Button 96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9</xdr:row>
                    <xdr:rowOff>63500</xdr:rowOff>
                  </from>
                  <to>
                    <xdr:col>0</xdr:col>
                    <xdr:colOff>584200</xdr:colOff>
                    <xdr:row>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97" name="Button 97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8</xdr:row>
                    <xdr:rowOff>63500</xdr:rowOff>
                  </from>
                  <to>
                    <xdr:col>0</xdr:col>
                    <xdr:colOff>584200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98" name="Button 98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10</xdr:row>
                    <xdr:rowOff>63500</xdr:rowOff>
                  </from>
                  <to>
                    <xdr:col>0</xdr:col>
                    <xdr:colOff>584200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99" name="Button 99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11</xdr:row>
                    <xdr:rowOff>63500</xdr:rowOff>
                  </from>
                  <to>
                    <xdr:col>0</xdr:col>
                    <xdr:colOff>584200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0" name="Button 100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12</xdr:row>
                    <xdr:rowOff>63500</xdr:rowOff>
                  </from>
                  <to>
                    <xdr:col>0</xdr:col>
                    <xdr:colOff>584200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1" name="Button 101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13</xdr:row>
                    <xdr:rowOff>63500</xdr:rowOff>
                  </from>
                  <to>
                    <xdr:col>0</xdr:col>
                    <xdr:colOff>584200</xdr:colOff>
                    <xdr:row>13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2" name="Button 102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14</xdr:row>
                    <xdr:rowOff>63500</xdr:rowOff>
                  </from>
                  <to>
                    <xdr:col>0</xdr:col>
                    <xdr:colOff>584200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3" name="Button 103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15</xdr:row>
                    <xdr:rowOff>63500</xdr:rowOff>
                  </from>
                  <to>
                    <xdr:col>0</xdr:col>
                    <xdr:colOff>584200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4" name="Button 104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16</xdr:row>
                    <xdr:rowOff>63500</xdr:rowOff>
                  </from>
                  <to>
                    <xdr:col>0</xdr:col>
                    <xdr:colOff>584200</xdr:colOff>
                    <xdr:row>16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</vt:i4>
      </vt:variant>
    </vt:vector>
  </HeadingPairs>
  <TitlesOfParts>
    <vt:vector size="8" baseType="lpstr">
      <vt:lpstr>旧BS</vt:lpstr>
      <vt:lpstr>SD</vt:lpstr>
      <vt:lpstr>KA</vt:lpstr>
      <vt:lpstr>Sheet3</vt:lpstr>
      <vt:lpstr>Sheet4</vt:lpstr>
      <vt:lpstr>BS</vt:lpstr>
      <vt:lpstr>Sheet3!Print_Area</vt:lpstr>
      <vt:lpstr>Sheet4!Print_Area</vt:lpstr>
    </vt:vector>
  </TitlesOfParts>
  <Manager/>
  <Company>UNITCOM PC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Tatsumi Kosuke</dc:creator>
  <cp:keywords/>
  <dc:description/>
  <cp:lastModifiedBy>名城大学 学生</cp:lastModifiedBy>
  <cp:lastPrinted>2024-01-23T22:12:19Z</cp:lastPrinted>
  <dcterms:created xsi:type="dcterms:W3CDTF">2018-12-27T13:17:29Z</dcterms:created>
  <dcterms:modified xsi:type="dcterms:W3CDTF">2024-01-24T13:07:23Z</dcterms:modified>
  <cp:category/>
</cp:coreProperties>
</file>